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4775d062c9d669/Documentos/PUC-Rio/Ensino/INF1403 2024.2/T1/"/>
    </mc:Choice>
  </mc:AlternateContent>
  <xr:revisionPtr revIDLastSave="4087" documentId="13_ncr:1_{ED8C8560-BB59-4EC9-AE8E-6146670B95A2}" xr6:coauthVersionLast="47" xr6:coauthVersionMax="47" xr10:uidLastSave="{E4C891A3-A6DC-4E11-B2A2-28A0159031FE}"/>
  <bookViews>
    <workbookView xWindow="-98" yWindow="-98" windowWidth="19396" windowHeight="11475" tabRatio="784" activeTab="1" xr2:uid="{00000000-000D-0000-FFFF-FFFF00000000}"/>
  </bookViews>
  <sheets>
    <sheet name="Roteiro" sheetId="7" r:id="rId1"/>
    <sheet name="Grupo E" sheetId="25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5" l="1"/>
  <c r="D32" i="25"/>
  <c r="R33" i="25"/>
  <c r="D32" i="7"/>
  <c r="K40" i="25"/>
  <c r="J40" i="25"/>
  <c r="I40" i="25"/>
  <c r="H40" i="25"/>
  <c r="G40" i="25"/>
  <c r="F40" i="25"/>
  <c r="K39" i="25"/>
  <c r="J39" i="25"/>
  <c r="I39" i="25"/>
  <c r="H39" i="25"/>
  <c r="G39" i="25"/>
  <c r="F39" i="25"/>
  <c r="M50" i="25"/>
  <c r="K15" i="25"/>
  <c r="J15" i="25"/>
  <c r="I15" i="25"/>
  <c r="H15" i="25"/>
  <c r="G15" i="25"/>
  <c r="F15" i="25"/>
  <c r="T12" i="25"/>
  <c r="R51" i="25"/>
  <c r="Q51" i="25"/>
  <c r="P51" i="25"/>
  <c r="O51" i="25"/>
  <c r="M51" i="25"/>
  <c r="R50" i="25"/>
  <c r="Q50" i="25"/>
  <c r="P50" i="25"/>
  <c r="O50" i="25"/>
  <c r="N50" i="25"/>
  <c r="T5" i="25"/>
  <c r="R4" i="25"/>
  <c r="Q4" i="25"/>
  <c r="P4" i="25"/>
  <c r="O4" i="25"/>
  <c r="N4" i="25"/>
  <c r="M4" i="25"/>
  <c r="M33" i="25" l="1"/>
  <c r="O33" i="25"/>
  <c r="N33" i="25"/>
  <c r="P33" i="25"/>
  <c r="Q33" i="25"/>
  <c r="D28" i="7"/>
  <c r="N48" i="25" l="1"/>
  <c r="M48" i="25"/>
  <c r="R48" i="25"/>
  <c r="Q48" i="25"/>
  <c r="P48" i="25"/>
  <c r="O48" i="25"/>
  <c r="D28" i="25"/>
  <c r="D42" i="7" l="1"/>
  <c r="D41" i="7"/>
  <c r="D40" i="7"/>
  <c r="D39" i="7"/>
  <c r="D38" i="7"/>
  <c r="D37" i="7"/>
  <c r="D34" i="7"/>
  <c r="D29" i="7"/>
  <c r="F34" i="7"/>
  <c r="F29" i="7"/>
  <c r="F28" i="7"/>
  <c r="F22" i="7"/>
  <c r="F19" i="7"/>
  <c r="F13" i="7"/>
  <c r="F7" i="7"/>
  <c r="F6" i="7"/>
  <c r="E43" i="7"/>
  <c r="D6" i="7"/>
  <c r="D5" i="7"/>
  <c r="R49" i="25" l="1"/>
  <c r="Q49" i="25"/>
  <c r="O49" i="25"/>
  <c r="N49" i="25"/>
  <c r="M49" i="25"/>
  <c r="P49" i="25"/>
  <c r="O45" i="25"/>
  <c r="P45" i="25"/>
  <c r="R45" i="25"/>
  <c r="Q45" i="25"/>
  <c r="N45" i="25"/>
  <c r="M45" i="25"/>
  <c r="D39" i="25"/>
  <c r="D5" i="25"/>
  <c r="D40" i="25"/>
  <c r="D6" i="25"/>
  <c r="D41" i="25"/>
  <c r="D42" i="25"/>
  <c r="D31" i="7"/>
  <c r="D29" i="25"/>
  <c r="D34" i="25"/>
  <c r="D37" i="25"/>
  <c r="D38" i="25"/>
  <c r="D43" i="7"/>
  <c r="D35" i="7"/>
  <c r="D30" i="7"/>
  <c r="D33" i="7"/>
  <c r="D36" i="7"/>
  <c r="D7" i="7"/>
  <c r="D13" i="7"/>
  <c r="D19" i="7"/>
  <c r="Q46" i="25" l="1"/>
  <c r="P46" i="25"/>
  <c r="O46" i="25"/>
  <c r="R46" i="25"/>
  <c r="N46" i="25"/>
  <c r="M46" i="25"/>
  <c r="D11" i="7"/>
  <c r="N47" i="25"/>
  <c r="M47" i="25"/>
  <c r="R47" i="25"/>
  <c r="P47" i="25"/>
  <c r="O47" i="25"/>
  <c r="Q47" i="25"/>
  <c r="D35" i="25"/>
  <c r="D31" i="25"/>
  <c r="M40" i="25"/>
  <c r="O40" i="25"/>
  <c r="P40" i="25"/>
  <c r="R40" i="25"/>
  <c r="Q40" i="25"/>
  <c r="N40" i="25"/>
  <c r="D12" i="7"/>
  <c r="D7" i="25"/>
  <c r="N42" i="25"/>
  <c r="P42" i="25"/>
  <c r="M42" i="25"/>
  <c r="O42" i="25"/>
  <c r="Q42" i="25"/>
  <c r="R42" i="25"/>
  <c r="R5" i="25"/>
  <c r="Q5" i="25"/>
  <c r="P5" i="25"/>
  <c r="O5" i="25"/>
  <c r="N5" i="25"/>
  <c r="M5" i="25"/>
  <c r="D27" i="7"/>
  <c r="D19" i="25"/>
  <c r="D13" i="25"/>
  <c r="R38" i="25"/>
  <c r="O38" i="25"/>
  <c r="N38" i="25"/>
  <c r="P38" i="25"/>
  <c r="Q38" i="25"/>
  <c r="M38" i="25"/>
  <c r="D36" i="25"/>
  <c r="Q37" i="25"/>
  <c r="N37" i="25"/>
  <c r="M37" i="25"/>
  <c r="P37" i="25"/>
  <c r="R37" i="25"/>
  <c r="O37" i="25"/>
  <c r="D30" i="25"/>
  <c r="R41" i="25"/>
  <c r="Q41" i="25"/>
  <c r="P41" i="25"/>
  <c r="O41" i="25"/>
  <c r="N41" i="25"/>
  <c r="M41" i="25"/>
  <c r="R39" i="25"/>
  <c r="M39" i="25"/>
  <c r="O39" i="25"/>
  <c r="P39" i="25"/>
  <c r="N39" i="25"/>
  <c r="Q39" i="25"/>
  <c r="D8" i="7"/>
  <c r="D9" i="7"/>
  <c r="D10" i="7"/>
  <c r="D21" i="7"/>
  <c r="D20" i="7"/>
  <c r="D22" i="7"/>
  <c r="D18" i="7"/>
  <c r="D14" i="7"/>
  <c r="D17" i="7"/>
  <c r="D16" i="7"/>
  <c r="D15" i="7"/>
  <c r="D47" i="7" l="1"/>
  <c r="D11" i="25"/>
  <c r="R36" i="25"/>
  <c r="Q36" i="25"/>
  <c r="P36" i="25"/>
  <c r="O36" i="25"/>
  <c r="N36" i="25"/>
  <c r="M36" i="25"/>
  <c r="D9" i="25"/>
  <c r="R30" i="25"/>
  <c r="Q30" i="25"/>
  <c r="P30" i="25"/>
  <c r="O30" i="25"/>
  <c r="N30" i="25"/>
  <c r="M30" i="25"/>
  <c r="D8" i="25"/>
  <c r="D16" i="25"/>
  <c r="N31" i="25"/>
  <c r="O31" i="25"/>
  <c r="P31" i="25"/>
  <c r="R31" i="25"/>
  <c r="M31" i="25"/>
  <c r="Q31" i="25"/>
  <c r="D14" i="25"/>
  <c r="D10" i="25"/>
  <c r="D27" i="25"/>
  <c r="D15" i="25"/>
  <c r="D17" i="25"/>
  <c r="D18" i="25"/>
  <c r="D22" i="25"/>
  <c r="O32" i="25"/>
  <c r="R32" i="25"/>
  <c r="Q32" i="25"/>
  <c r="P32" i="25"/>
  <c r="M32" i="25"/>
  <c r="N32" i="25"/>
  <c r="D12" i="25"/>
  <c r="P35" i="25"/>
  <c r="O35" i="25"/>
  <c r="Q35" i="25"/>
  <c r="M35" i="25"/>
  <c r="N35" i="25"/>
  <c r="R35" i="25"/>
  <c r="D20" i="25"/>
  <c r="D21" i="25"/>
  <c r="D23" i="7"/>
  <c r="D24" i="7"/>
  <c r="D25" i="7"/>
  <c r="D26" i="7"/>
  <c r="G51" i="25" l="1"/>
  <c r="N51" i="25" s="1"/>
  <c r="P11" i="25"/>
  <c r="O11" i="25"/>
  <c r="R11" i="25"/>
  <c r="Q11" i="25"/>
  <c r="N11" i="25"/>
  <c r="M11" i="25"/>
  <c r="M15" i="25"/>
  <c r="R15" i="25"/>
  <c r="Q15" i="25"/>
  <c r="P15" i="25"/>
  <c r="O15" i="25"/>
  <c r="N15" i="25"/>
  <c r="D26" i="25"/>
  <c r="R8" i="25"/>
  <c r="O8" i="25"/>
  <c r="P8" i="25"/>
  <c r="Q8" i="25"/>
  <c r="N8" i="25"/>
  <c r="M8" i="25"/>
  <c r="Q16" i="25"/>
  <c r="N16" i="25"/>
  <c r="O16" i="25"/>
  <c r="R16" i="25"/>
  <c r="P16" i="25"/>
  <c r="M16" i="25"/>
  <c r="O27" i="25"/>
  <c r="M27" i="25"/>
  <c r="R27" i="25"/>
  <c r="Q27" i="25"/>
  <c r="P27" i="25"/>
  <c r="N27" i="25"/>
  <c r="D25" i="25"/>
  <c r="D24" i="25"/>
  <c r="D23" i="25"/>
  <c r="Q10" i="25"/>
  <c r="P10" i="25"/>
  <c r="O10" i="25"/>
  <c r="N10" i="25"/>
  <c r="R10" i="25"/>
  <c r="M10" i="25"/>
  <c r="N12" i="25"/>
  <c r="M12" i="25"/>
  <c r="R12" i="25"/>
  <c r="Q12" i="25"/>
  <c r="P12" i="25"/>
  <c r="O12" i="25"/>
  <c r="Q9" i="25"/>
  <c r="O9" i="25"/>
  <c r="R9" i="25"/>
  <c r="M9" i="25"/>
  <c r="P9" i="25"/>
  <c r="N9" i="25"/>
  <c r="Q20" i="25"/>
  <c r="R20" i="25"/>
  <c r="M20" i="25"/>
  <c r="N20" i="25"/>
  <c r="O20" i="25"/>
  <c r="P20" i="25"/>
  <c r="R14" i="25"/>
  <c r="M14" i="25"/>
  <c r="Q14" i="25"/>
  <c r="O14" i="25"/>
  <c r="P14" i="25"/>
  <c r="N14" i="25"/>
  <c r="N17" i="25"/>
  <c r="M17" i="25"/>
  <c r="P17" i="25"/>
  <c r="O17" i="25"/>
  <c r="R17" i="25"/>
  <c r="Q17" i="25"/>
  <c r="R21" i="25"/>
  <c r="M21" i="25"/>
  <c r="N21" i="25"/>
  <c r="P21" i="25"/>
  <c r="O21" i="25"/>
  <c r="Q21" i="25"/>
  <c r="O18" i="25"/>
  <c r="M18" i="25"/>
  <c r="P18" i="25"/>
  <c r="N18" i="25"/>
  <c r="Q18" i="25"/>
  <c r="R18" i="25"/>
  <c r="D44" i="7"/>
  <c r="R23" i="25" l="1"/>
  <c r="P23" i="25"/>
  <c r="O23" i="25"/>
  <c r="N23" i="25"/>
  <c r="Q23" i="25"/>
  <c r="M23" i="25"/>
  <c r="Q24" i="25"/>
  <c r="R24" i="25"/>
  <c r="P24" i="25"/>
  <c r="M24" i="25"/>
  <c r="N24" i="25"/>
  <c r="O24" i="25"/>
  <c r="O44" i="25" s="1"/>
  <c r="O52" i="25" s="1"/>
  <c r="N26" i="25"/>
  <c r="M26" i="25"/>
  <c r="R26" i="25"/>
  <c r="Q26" i="25"/>
  <c r="P26" i="25"/>
  <c r="O26" i="25"/>
  <c r="R25" i="25"/>
  <c r="O25" i="25"/>
  <c r="N25" i="25"/>
  <c r="Q25" i="25"/>
  <c r="P25" i="25"/>
  <c r="M25" i="25"/>
  <c r="M44" i="25" l="1"/>
  <c r="M52" i="25" s="1"/>
  <c r="Q44" i="25"/>
  <c r="Q52" i="25" s="1"/>
  <c r="N44" i="25"/>
  <c r="N52" i="25" s="1"/>
  <c r="P44" i="25"/>
  <c r="P52" i="25" s="1"/>
  <c r="R44" i="25"/>
  <c r="R52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Clarissa Barbosa</author>
  </authors>
  <commentList>
    <comment ref="F9" authorId="0" shapeId="0" xr:uid="{B6189E0E-4C47-49AB-AD6E-A575F82262CD}">
      <text>
        <r>
          <rPr>
            <b/>
            <sz val="9"/>
            <color indexed="81"/>
            <rFont val="Segoe UI"/>
            <charset val="1"/>
          </rPr>
          <t>Clarissa Barbosa:</t>
        </r>
        <r>
          <rPr>
            <sz val="9"/>
            <color indexed="81"/>
            <rFont val="Segoe UI"/>
            <charset val="1"/>
          </rPr>
          <t xml:space="preserve">
Erros no TCLE (que dei) + 10% modelo em arquivo separado. </t>
        </r>
      </text>
    </comment>
    <comment ref="F32" authorId="0" shapeId="0" xr:uid="{B7CFEA45-7816-4194-A57E-03BE3994BE60}">
      <text>
        <r>
          <rPr>
            <b/>
            <sz val="9"/>
            <color indexed="81"/>
            <rFont val="Segoe UI"/>
            <charset val="1"/>
          </rPr>
          <t>Clarissa Barbosa:</t>
        </r>
        <r>
          <rPr>
            <sz val="9"/>
            <color indexed="81"/>
            <rFont val="Segoe UI"/>
            <charset val="1"/>
          </rPr>
          <t xml:space="preserve">
Não informaram os alunos.</t>
        </r>
      </text>
    </comment>
    <comment ref="D46" authorId="0" shapeId="0" xr:uid="{1B4A3694-893B-4FAA-8EA8-2446C5EA6E19}">
      <text>
        <r>
          <rPr>
            <b/>
            <sz val="9"/>
            <color indexed="81"/>
            <rFont val="Segoe UI"/>
            <charset val="1"/>
          </rPr>
          <t>Clarissa Barbosa:</t>
        </r>
        <r>
          <rPr>
            <sz val="9"/>
            <color indexed="81"/>
            <rFont val="Segoe UI"/>
            <charset val="1"/>
          </rPr>
          <t xml:space="preserve">
Subiu o arquivo 0h30. Não descontei.</t>
        </r>
      </text>
    </comment>
  </commentList>
</comments>
</file>

<file path=xl/sharedStrings.xml><?xml version="1.0" encoding="utf-8"?>
<sst xmlns="http://schemas.openxmlformats.org/spreadsheetml/2006/main" count="164" uniqueCount="92">
  <si>
    <t>G1</t>
  </si>
  <si>
    <t>Questão</t>
  </si>
  <si>
    <t>Valor</t>
  </si>
  <si>
    <t>Peso %</t>
  </si>
  <si>
    <t>Pesquisa preliminar sobre o domínio e sistemas existentes</t>
  </si>
  <si>
    <t>Pesquisa com usuários – Entrevistas</t>
  </si>
  <si>
    <t>2.1</t>
  </si>
  <si>
    <t>Entrevista: Preparação</t>
  </si>
  <si>
    <t>2.1.1</t>
  </si>
  <si>
    <t>Papel e perfil dos entrevistados que serão recrutados</t>
  </si>
  <si>
    <t>2.1.2</t>
  </si>
  <si>
    <t>Modelo de Termo de Consentimento (TCLE) para as entrevistas</t>
  </si>
  <si>
    <t>2.1.3</t>
  </si>
  <si>
    <t>Roteiro preliminar de entrevista</t>
  </si>
  <si>
    <t>2.1.4</t>
  </si>
  <si>
    <t>Preparação para a condução da entrevista</t>
  </si>
  <si>
    <t>2.2</t>
  </si>
  <si>
    <t>Entrevista-piloto: condução e análise</t>
  </si>
  <si>
    <t>2.2.1</t>
  </si>
  <si>
    <t>TCLE assinado para a entrevista-piloto</t>
  </si>
  <si>
    <t>2.2.2</t>
  </si>
  <si>
    <t>“Transcrição” da entrevista-piloto</t>
  </si>
  <si>
    <t>Análise da condução da entrevista-piloto</t>
  </si>
  <si>
    <t>2.2.3</t>
  </si>
  <si>
    <t>Análise do conteúdo da entrevista-piloto e do roteiro</t>
  </si>
  <si>
    <t>2.2.4</t>
  </si>
  <si>
    <t>Revisão do roteiro de entrevista</t>
  </si>
  <si>
    <t>2.3</t>
  </si>
  <si>
    <t>Entrevistas: condução e análise</t>
  </si>
  <si>
    <t>2.3.1</t>
  </si>
  <si>
    <t>Alocação de entrevistados por aluno</t>
  </si>
  <si>
    <t>2.3.2</t>
  </si>
  <si>
    <t>Perfil dos entrevistados</t>
  </si>
  <si>
    <t>2.3.3</t>
  </si>
  <si>
    <t>2.3.3.1</t>
  </si>
  <si>
    <t>Entrevista com E01 – A1 – NomeDoAluno</t>
  </si>
  <si>
    <t>TCLE digitalizado</t>
  </si>
  <si>
    <t>Transcrição</t>
  </si>
  <si>
    <t>Análise individual da condução</t>
  </si>
  <si>
    <t>Análise individual do conteúdo</t>
  </si>
  <si>
    <t>Análise consolidada das entrevistas</t>
  </si>
  <si>
    <t>Pesquisa com usuários – Questionários</t>
  </si>
  <si>
    <t>3.1</t>
  </si>
  <si>
    <t>Preparação para o questionário</t>
  </si>
  <si>
    <t>3.1.1</t>
  </si>
  <si>
    <t>Estratégias de distribuição do questionário</t>
  </si>
  <si>
    <t>3.1.2</t>
  </si>
  <si>
    <t>Modelo de Termo de Consentimento (TCLE) para o questionário</t>
  </si>
  <si>
    <t>3.1.3</t>
  </si>
  <si>
    <t>Estrutura e conteúdo preliminar do questionário</t>
  </si>
  <si>
    <t>3.2</t>
  </si>
  <si>
    <t>Questionário-piloto</t>
  </si>
  <si>
    <t>3.2.1</t>
  </si>
  <si>
    <t>Análise do questionário-piloto</t>
  </si>
  <si>
    <t>3.2.2</t>
  </si>
  <si>
    <t>Revisão e consolidação do questionário</t>
  </si>
  <si>
    <t>3.3</t>
  </si>
  <si>
    <t>Divulgação e coleta de dados do questionário</t>
  </si>
  <si>
    <t>3.4</t>
  </si>
  <si>
    <t>Análise dos dados coletados</t>
  </si>
  <si>
    <t>Papéis e Personas</t>
  </si>
  <si>
    <t>Apreciação do trabalho</t>
  </si>
  <si>
    <t>Correção</t>
  </si>
  <si>
    <t>Ponto</t>
  </si>
  <si>
    <t>Valor da questão</t>
  </si>
  <si>
    <t>Nota trabalho</t>
  </si>
  <si>
    <t>Apresentação em sala aula</t>
  </si>
  <si>
    <t>2.2.5</t>
  </si>
  <si>
    <t>2.3.3.2</t>
  </si>
  <si>
    <t>2.3.3.3</t>
  </si>
  <si>
    <t>2.3.3.4</t>
  </si>
  <si>
    <t>Jornada de usuário</t>
  </si>
  <si>
    <t>Sub-peso %</t>
  </si>
  <si>
    <t>Double check</t>
  </si>
  <si>
    <t>2.3.4</t>
  </si>
  <si>
    <t>Texto feedback</t>
  </si>
  <si>
    <t>Eduardo Olinto (A1)</t>
  </si>
  <si>
    <t>Pedro Consales (A2)</t>
  </si>
  <si>
    <t>Guilherme Rosa (A3)</t>
  </si>
  <si>
    <t>Gustavo Valente (A4)</t>
  </si>
  <si>
    <t>Vitor Cid (A5)</t>
  </si>
  <si>
    <t>Pedro Ferreira Serpa (A6)</t>
  </si>
  <si>
    <t>Apresentação do roteiro da entrevista</t>
  </si>
  <si>
    <t>(Grupo) Desconto por atraso E1 (seção 1)</t>
  </si>
  <si>
    <t>(Grupo) Desconto por atraso E2 (seções 2.1 e 2.2)</t>
  </si>
  <si>
    <t>(Grupo) Desconto por atraso E3 (seção 2.3)</t>
  </si>
  <si>
    <t>(Grupo) Desconto por atraso E4 (seção 3)</t>
  </si>
  <si>
    <t>(Grupo) Desconto por atraso E5 (seções 4, 5 e 6)</t>
  </si>
  <si>
    <t>(Grupo) Outros descontos (ex., organização, não seguiu enunciado) (total trabalho)</t>
  </si>
  <si>
    <t>Pontos Extras</t>
  </si>
  <si>
    <t>(Aluno) Contribuição nas apresentações das entrevistas</t>
  </si>
  <si>
    <t>Apresentação do questionário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</si>
</sst>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</font>
    <font>
      <sz val="11"/>
      <color rgb="FFFF0000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E867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wrapText="1"/>
    </xf>
    <xf numFmtId="9" fontId="3" fillId="0" borderId="0" applyFont="0" applyFill="0" applyBorder="0" applyAlignment="0" applyProtection="0"/>
  </cellStyleXfs>
  <cellXfs count="36">
    <xf numFmtId="0" fontId="0" fillId="0" borderId="0" xfId="0" applyAlignment="1">
      <alignment wrapText="1" readingOrder="1"/>
    </xf>
    <xf numFmtId="0" fontId="1" fillId="0" borderId="0" xfId="0" applyFont="1" applyAlignment="1">
      <alignment wrapText="1" readingOrder="1"/>
    </xf>
    <xf numFmtId="0" fontId="0" fillId="2" borderId="0" xfId="0" applyFill="1" applyAlignment="1">
      <alignment wrapText="1" readingOrder="1"/>
    </xf>
    <xf numFmtId="0" fontId="1" fillId="0" borderId="0" xfId="0" applyFont="1" applyAlignment="1">
      <alignment vertical="top" wrapText="1" readingOrder="1"/>
    </xf>
    <xf numFmtId="0" fontId="0" fillId="3" borderId="0" xfId="0" applyFill="1" applyAlignment="1">
      <alignment horizontal="right" wrapText="1" readingOrder="1"/>
    </xf>
    <xf numFmtId="0" fontId="0" fillId="3" borderId="0" xfId="0" applyFill="1" applyAlignment="1">
      <alignment wrapText="1" readingOrder="1"/>
    </xf>
    <xf numFmtId="0" fontId="0" fillId="4" borderId="0" xfId="0" applyFill="1" applyAlignment="1">
      <alignment horizontal="right" wrapText="1" readingOrder="1"/>
    </xf>
    <xf numFmtId="0" fontId="0" fillId="4" borderId="0" xfId="0" applyFill="1" applyAlignment="1">
      <alignment wrapText="1" readingOrder="1"/>
    </xf>
    <xf numFmtId="0" fontId="1" fillId="5" borderId="0" xfId="0" applyFont="1" applyFill="1" applyAlignment="1">
      <alignment horizontal="right" wrapText="1" readingOrder="1"/>
    </xf>
    <xf numFmtId="0" fontId="1" fillId="5" borderId="0" xfId="0" applyFont="1" applyFill="1" applyAlignment="1">
      <alignment wrapText="1" readingOrder="1"/>
    </xf>
    <xf numFmtId="0" fontId="0" fillId="5" borderId="0" xfId="0" applyFill="1" applyAlignment="1">
      <alignment horizontal="right" wrapText="1" readingOrder="1"/>
    </xf>
    <xf numFmtId="0" fontId="0" fillId="5" borderId="0" xfId="0" applyFill="1" applyAlignment="1">
      <alignment wrapText="1" readingOrder="1"/>
    </xf>
    <xf numFmtId="0" fontId="0" fillId="6" borderId="0" xfId="0" applyFill="1" applyAlignment="1">
      <alignment horizontal="right" wrapText="1" readingOrder="1"/>
    </xf>
    <xf numFmtId="0" fontId="0" fillId="6" borderId="0" xfId="0" applyFill="1" applyAlignment="1">
      <alignment wrapText="1" readingOrder="1"/>
    </xf>
    <xf numFmtId="0" fontId="0" fillId="7" borderId="0" xfId="0" applyFill="1" applyAlignment="1">
      <alignment horizontal="right" wrapText="1" readingOrder="1"/>
    </xf>
    <xf numFmtId="0" fontId="0" fillId="7" borderId="0" xfId="0" applyFill="1" applyAlignment="1">
      <alignment wrapText="1" readingOrder="1"/>
    </xf>
    <xf numFmtId="0" fontId="0" fillId="8" borderId="0" xfId="0" applyFill="1" applyAlignment="1">
      <alignment horizontal="right" wrapText="1" readingOrder="1"/>
    </xf>
    <xf numFmtId="0" fontId="0" fillId="8" borderId="0" xfId="0" applyFill="1" applyAlignment="1">
      <alignment wrapText="1" readingOrder="1"/>
    </xf>
    <xf numFmtId="0" fontId="1" fillId="9" borderId="0" xfId="0" applyFont="1" applyFill="1" applyAlignment="1">
      <alignment horizontal="right" wrapText="1" readingOrder="1"/>
    </xf>
    <xf numFmtId="0" fontId="1" fillId="9" borderId="0" xfId="0" applyFont="1" applyFill="1" applyAlignment="1">
      <alignment wrapText="1" readingOrder="1"/>
    </xf>
    <xf numFmtId="0" fontId="0" fillId="9" borderId="0" xfId="0" applyFill="1" applyAlignment="1">
      <alignment wrapText="1" readingOrder="1"/>
    </xf>
    <xf numFmtId="0" fontId="0" fillId="10" borderId="0" xfId="0" applyFill="1" applyAlignment="1">
      <alignment horizontal="right" wrapText="1" readingOrder="1"/>
    </xf>
    <xf numFmtId="0" fontId="0" fillId="10" borderId="0" xfId="0" applyFill="1" applyAlignment="1">
      <alignment wrapText="1" readingOrder="1"/>
    </xf>
    <xf numFmtId="0" fontId="2" fillId="11" borderId="0" xfId="0" applyFont="1" applyFill="1" applyAlignment="1">
      <alignment wrapText="1" readingOrder="1"/>
    </xf>
    <xf numFmtId="0" fontId="2" fillId="12" borderId="0" xfId="0" applyFont="1" applyFill="1" applyAlignment="1">
      <alignment wrapText="1" readingOrder="1"/>
    </xf>
    <xf numFmtId="0" fontId="1" fillId="4" borderId="0" xfId="0" applyFont="1" applyFill="1" applyAlignment="1">
      <alignment wrapText="1" readingOrder="1"/>
    </xf>
    <xf numFmtId="0" fontId="0" fillId="13" borderId="0" xfId="0" applyFill="1" applyAlignment="1">
      <alignment horizontal="right" wrapText="1" readingOrder="1"/>
    </xf>
    <xf numFmtId="0" fontId="1" fillId="13" borderId="0" xfId="0" applyFont="1" applyFill="1" applyAlignment="1">
      <alignment wrapText="1" readingOrder="1"/>
    </xf>
    <xf numFmtId="0" fontId="0" fillId="13" borderId="0" xfId="0" applyFill="1" applyAlignment="1">
      <alignment wrapText="1" readingOrder="1"/>
    </xf>
    <xf numFmtId="9" fontId="0" fillId="0" borderId="0" xfId="1" applyFont="1" applyAlignment="1">
      <alignment wrapText="1" readingOrder="1"/>
    </xf>
    <xf numFmtId="0" fontId="2" fillId="14" borderId="0" xfId="0" applyFont="1" applyFill="1" applyAlignment="1">
      <alignment wrapText="1" readingOrder="1"/>
    </xf>
    <xf numFmtId="0" fontId="0" fillId="0" borderId="0" xfId="0" applyAlignment="1">
      <alignment vertical="top" wrapText="1" readingOrder="1"/>
    </xf>
    <xf numFmtId="0" fontId="4" fillId="0" borderId="0" xfId="0" applyFont="1" applyAlignment="1">
      <alignment wrapText="1" readingOrder="1"/>
    </xf>
    <xf numFmtId="0" fontId="0" fillId="15" borderId="0" xfId="0" applyFill="1" applyAlignment="1">
      <alignment wrapText="1" readingOrder="1"/>
    </xf>
    <xf numFmtId="0" fontId="2" fillId="15" borderId="0" xfId="0" applyFont="1" applyFill="1" applyAlignment="1">
      <alignment wrapText="1" readingOrder="1"/>
    </xf>
    <xf numFmtId="0" fontId="2" fillId="11" borderId="0" xfId="0" applyFont="1" applyFill="1" applyAlignment="1">
      <alignment horizontal="center" wrapText="1" readingOrder="1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FE8672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0E04-3AB2-4F58-BF45-B729AE584D8A}">
  <dimension ref="B2:F47"/>
  <sheetViews>
    <sheetView topLeftCell="A25" zoomScale="86" zoomScaleNormal="86" workbookViewId="0">
      <selection activeCell="C33" sqref="C33"/>
    </sheetView>
  </sheetViews>
  <sheetFormatPr defaultRowHeight="14.25" x14ac:dyDescent="0.45"/>
  <cols>
    <col min="1" max="1" width="4" customWidth="1"/>
    <col min="3" max="3" width="52.796875" customWidth="1"/>
    <col min="5" max="5" width="11.46484375" bestFit="1" customWidth="1"/>
    <col min="6" max="6" width="11.796875" customWidth="1"/>
  </cols>
  <sheetData>
    <row r="2" spans="2:6" x14ac:dyDescent="0.45">
      <c r="B2" s="35" t="s">
        <v>1</v>
      </c>
      <c r="C2" s="35"/>
      <c r="D2" s="23" t="s">
        <v>2</v>
      </c>
      <c r="E2" s="23" t="s">
        <v>3</v>
      </c>
      <c r="F2" s="23" t="s">
        <v>72</v>
      </c>
    </row>
    <row r="3" spans="2:6" x14ac:dyDescent="0.45">
      <c r="D3" s="24">
        <v>10</v>
      </c>
    </row>
    <row r="5" spans="2:6" x14ac:dyDescent="0.45">
      <c r="B5" s="4">
        <v>1</v>
      </c>
      <c r="C5" s="5" t="s">
        <v>4</v>
      </c>
      <c r="D5">
        <f t="shared" ref="D5:D6" si="0">E5/100*$D$3</f>
        <v>1</v>
      </c>
      <c r="E5" s="4">
        <v>10</v>
      </c>
    </row>
    <row r="6" spans="2:6" x14ac:dyDescent="0.45">
      <c r="B6" s="6">
        <v>2</v>
      </c>
      <c r="C6" s="7" t="s">
        <v>5</v>
      </c>
      <c r="D6" s="2">
        <f t="shared" si="0"/>
        <v>2.9</v>
      </c>
      <c r="E6" s="6">
        <v>29</v>
      </c>
      <c r="F6" s="2">
        <f>SUM(E7,E13,E19)</f>
        <v>100</v>
      </c>
    </row>
    <row r="7" spans="2:6" x14ac:dyDescent="0.45">
      <c r="B7" s="18" t="s">
        <v>6</v>
      </c>
      <c r="C7" s="19" t="s">
        <v>7</v>
      </c>
      <c r="D7" s="2">
        <f>E7/100*$D$6</f>
        <v>1.1599999999999999</v>
      </c>
      <c r="E7" s="20">
        <v>40</v>
      </c>
      <c r="F7" s="2">
        <f>SUM(E8:E12)</f>
        <v>100</v>
      </c>
    </row>
    <row r="8" spans="2:6" x14ac:dyDescent="0.45">
      <c r="B8" s="8" t="s">
        <v>8</v>
      </c>
      <c r="C8" s="9" t="s">
        <v>9</v>
      </c>
      <c r="D8">
        <f>E8/100*$D$7</f>
        <v>0.34799999999999998</v>
      </c>
      <c r="E8">
        <v>30</v>
      </c>
    </row>
    <row r="9" spans="2:6" x14ac:dyDescent="0.45">
      <c r="B9" s="8" t="s">
        <v>10</v>
      </c>
      <c r="C9" s="9" t="s">
        <v>11</v>
      </c>
      <c r="D9">
        <f t="shared" ref="D9:D12" si="1">E9/100*$D$7</f>
        <v>5.7999999999999996E-2</v>
      </c>
      <c r="E9">
        <v>5</v>
      </c>
    </row>
    <row r="10" spans="2:6" x14ac:dyDescent="0.45">
      <c r="B10" s="8" t="s">
        <v>12</v>
      </c>
      <c r="C10" s="9" t="s">
        <v>13</v>
      </c>
      <c r="D10">
        <f t="shared" si="1"/>
        <v>0.63800000000000001</v>
      </c>
      <c r="E10">
        <v>55</v>
      </c>
    </row>
    <row r="11" spans="2:6" x14ac:dyDescent="0.45">
      <c r="B11" s="8" t="s">
        <v>12</v>
      </c>
      <c r="C11" s="9" t="s">
        <v>82</v>
      </c>
      <c r="D11">
        <f t="shared" si="1"/>
        <v>5.7999999999999996E-2</v>
      </c>
      <c r="E11">
        <v>5</v>
      </c>
    </row>
    <row r="12" spans="2:6" x14ac:dyDescent="0.45">
      <c r="B12" s="8" t="s">
        <v>14</v>
      </c>
      <c r="C12" s="9" t="s">
        <v>15</v>
      </c>
      <c r="D12">
        <f t="shared" si="1"/>
        <v>5.7999999999999996E-2</v>
      </c>
      <c r="E12">
        <v>5</v>
      </c>
    </row>
    <row r="13" spans="2:6" x14ac:dyDescent="0.45">
      <c r="B13" s="18" t="s">
        <v>16</v>
      </c>
      <c r="C13" s="19" t="s">
        <v>17</v>
      </c>
      <c r="D13" s="2">
        <f>E13/100*$D$6</f>
        <v>0.72499999999999998</v>
      </c>
      <c r="E13" s="20">
        <v>25</v>
      </c>
      <c r="F13" s="2">
        <f>SUM(E14:E18)</f>
        <v>100</v>
      </c>
    </row>
    <row r="14" spans="2:6" x14ac:dyDescent="0.45">
      <c r="B14" s="10" t="s">
        <v>18</v>
      </c>
      <c r="C14" s="9" t="s">
        <v>19</v>
      </c>
      <c r="D14">
        <f>E14/100*$D$13</f>
        <v>2.8999999999999998E-2</v>
      </c>
      <c r="E14">
        <v>4</v>
      </c>
    </row>
    <row r="15" spans="2:6" x14ac:dyDescent="0.45">
      <c r="B15" s="10" t="s">
        <v>20</v>
      </c>
      <c r="C15" s="11" t="s">
        <v>21</v>
      </c>
      <c r="D15">
        <f t="shared" ref="D15:D18" si="2">E15/100*$D$13</f>
        <v>0.17399999999999999</v>
      </c>
      <c r="E15">
        <v>24</v>
      </c>
    </row>
    <row r="16" spans="2:6" x14ac:dyDescent="0.45">
      <c r="B16" s="8" t="s">
        <v>23</v>
      </c>
      <c r="C16" s="11" t="s">
        <v>22</v>
      </c>
      <c r="D16">
        <f t="shared" si="2"/>
        <v>0.17399999999999999</v>
      </c>
      <c r="E16">
        <v>24</v>
      </c>
    </row>
    <row r="17" spans="2:6" x14ac:dyDescent="0.45">
      <c r="B17" s="8" t="s">
        <v>25</v>
      </c>
      <c r="C17" s="11" t="s">
        <v>24</v>
      </c>
      <c r="D17">
        <f t="shared" si="2"/>
        <v>0.17399999999999999</v>
      </c>
      <c r="E17">
        <v>24</v>
      </c>
    </row>
    <row r="18" spans="2:6" x14ac:dyDescent="0.45">
      <c r="B18" s="8" t="s">
        <v>67</v>
      </c>
      <c r="C18" s="11" t="s">
        <v>26</v>
      </c>
      <c r="D18">
        <f t="shared" si="2"/>
        <v>0.17399999999999999</v>
      </c>
      <c r="E18">
        <v>24</v>
      </c>
    </row>
    <row r="19" spans="2:6" x14ac:dyDescent="0.45">
      <c r="B19" s="18" t="s">
        <v>27</v>
      </c>
      <c r="C19" s="20" t="s">
        <v>28</v>
      </c>
      <c r="D19" s="2">
        <f>E19/100*$D$6</f>
        <v>1.0149999999999999</v>
      </c>
      <c r="E19" s="20">
        <v>35</v>
      </c>
      <c r="F19" s="2">
        <f>SUM(E20,E21,E22,E27)</f>
        <v>100</v>
      </c>
    </row>
    <row r="20" spans="2:6" x14ac:dyDescent="0.45">
      <c r="B20" s="8" t="s">
        <v>29</v>
      </c>
      <c r="C20" s="11" t="s">
        <v>30</v>
      </c>
      <c r="D20">
        <f>E20/100*$D$19</f>
        <v>2.0299999999999999E-2</v>
      </c>
      <c r="E20">
        <v>2</v>
      </c>
    </row>
    <row r="21" spans="2:6" x14ac:dyDescent="0.45">
      <c r="B21" s="10" t="s">
        <v>31</v>
      </c>
      <c r="C21" s="11" t="s">
        <v>32</v>
      </c>
      <c r="D21">
        <f>E21/100*$D$19</f>
        <v>6.0899999999999989E-2</v>
      </c>
      <c r="E21">
        <v>6</v>
      </c>
    </row>
    <row r="22" spans="2:6" x14ac:dyDescent="0.45">
      <c r="B22" s="8" t="s">
        <v>33</v>
      </c>
      <c r="C22" s="11" t="s">
        <v>35</v>
      </c>
      <c r="D22" s="2">
        <f>E22/100*$D$19</f>
        <v>0.55825000000000002</v>
      </c>
      <c r="E22" s="2">
        <v>55</v>
      </c>
      <c r="F22" s="2">
        <f>SUM(E23:E26)</f>
        <v>100</v>
      </c>
    </row>
    <row r="23" spans="2:6" x14ac:dyDescent="0.45">
      <c r="B23" s="8" t="s">
        <v>34</v>
      </c>
      <c r="C23" s="11" t="s">
        <v>36</v>
      </c>
      <c r="D23">
        <f>E23/100*$D$22</f>
        <v>2.2330000000000003E-2</v>
      </c>
      <c r="E23">
        <v>4</v>
      </c>
    </row>
    <row r="24" spans="2:6" x14ac:dyDescent="0.45">
      <c r="B24" s="8" t="s">
        <v>68</v>
      </c>
      <c r="C24" s="11" t="s">
        <v>37</v>
      </c>
      <c r="D24">
        <f t="shared" ref="D24:D26" si="3">E24/100*$D$22</f>
        <v>0.12281500000000001</v>
      </c>
      <c r="E24">
        <v>22</v>
      </c>
    </row>
    <row r="25" spans="2:6" x14ac:dyDescent="0.45">
      <c r="B25" s="8" t="s">
        <v>69</v>
      </c>
      <c r="C25" s="11" t="s">
        <v>38</v>
      </c>
      <c r="D25">
        <f t="shared" si="3"/>
        <v>0.2065525</v>
      </c>
      <c r="E25">
        <v>37</v>
      </c>
    </row>
    <row r="26" spans="2:6" x14ac:dyDescent="0.45">
      <c r="B26" s="8" t="s">
        <v>70</v>
      </c>
      <c r="C26" s="11" t="s">
        <v>39</v>
      </c>
      <c r="D26">
        <f t="shared" si="3"/>
        <v>0.2065525</v>
      </c>
      <c r="E26">
        <v>37</v>
      </c>
    </row>
    <row r="27" spans="2:6" x14ac:dyDescent="0.45">
      <c r="B27" s="8" t="s">
        <v>74</v>
      </c>
      <c r="C27" s="11" t="s">
        <v>40</v>
      </c>
      <c r="D27">
        <f>E27/100*$D$19</f>
        <v>0.37554999999999999</v>
      </c>
      <c r="E27">
        <v>37.000000000000007</v>
      </c>
    </row>
    <row r="28" spans="2:6" x14ac:dyDescent="0.45">
      <c r="B28" s="12">
        <v>3</v>
      </c>
      <c r="C28" s="13" t="s">
        <v>41</v>
      </c>
      <c r="D28">
        <f t="shared" ref="D28" si="4">E28/100*$D$3</f>
        <v>2</v>
      </c>
      <c r="E28" s="13">
        <v>20</v>
      </c>
      <c r="F28" s="2">
        <f>SUM(E29,E34,E37,E38)</f>
        <v>100</v>
      </c>
    </row>
    <row r="29" spans="2:6" x14ac:dyDescent="0.45">
      <c r="B29" s="21" t="s">
        <v>42</v>
      </c>
      <c r="C29" s="22" t="s">
        <v>43</v>
      </c>
      <c r="D29" s="2">
        <f>E29/100*$D$28</f>
        <v>0.8</v>
      </c>
      <c r="E29" s="22">
        <v>40</v>
      </c>
      <c r="F29" s="2">
        <f>SUM(E30:E33)</f>
        <v>100</v>
      </c>
    </row>
    <row r="30" spans="2:6" x14ac:dyDescent="0.45">
      <c r="B30" s="14" t="s">
        <v>44</v>
      </c>
      <c r="C30" s="15" t="s">
        <v>45</v>
      </c>
      <c r="D30">
        <f>E30/100*$D$29</f>
        <v>4.0000000000000008E-2</v>
      </c>
      <c r="E30">
        <v>5</v>
      </c>
    </row>
    <row r="31" spans="2:6" x14ac:dyDescent="0.45">
      <c r="B31" s="14" t="s">
        <v>46</v>
      </c>
      <c r="C31" s="15" t="s">
        <v>47</v>
      </c>
      <c r="D31">
        <f t="shared" ref="D31:D33" si="5">E31/100*$D$29</f>
        <v>4.0000000000000008E-2</v>
      </c>
      <c r="E31">
        <v>5</v>
      </c>
    </row>
    <row r="32" spans="2:6" x14ac:dyDescent="0.45">
      <c r="B32" s="14" t="s">
        <v>48</v>
      </c>
      <c r="C32" s="15" t="s">
        <v>49</v>
      </c>
      <c r="D32">
        <f t="shared" ref="D32" si="6">E32/100*$D$29</f>
        <v>0.68</v>
      </c>
      <c r="E32">
        <v>85</v>
      </c>
    </row>
    <row r="33" spans="2:6" x14ac:dyDescent="0.45">
      <c r="B33" s="14" t="s">
        <v>48</v>
      </c>
      <c r="C33" s="15" t="s">
        <v>91</v>
      </c>
      <c r="D33">
        <f t="shared" si="5"/>
        <v>4.0000000000000008E-2</v>
      </c>
      <c r="E33">
        <v>5</v>
      </c>
    </row>
    <row r="34" spans="2:6" x14ac:dyDescent="0.45">
      <c r="B34" s="21" t="s">
        <v>50</v>
      </c>
      <c r="C34" s="22" t="s">
        <v>51</v>
      </c>
      <c r="D34" s="2">
        <f>E34/100*$D$28</f>
        <v>0.38</v>
      </c>
      <c r="E34" s="22">
        <v>19</v>
      </c>
      <c r="F34" s="2">
        <f>SUM(E35:E36)</f>
        <v>100</v>
      </c>
    </row>
    <row r="35" spans="2:6" x14ac:dyDescent="0.45">
      <c r="B35" s="14" t="s">
        <v>52</v>
      </c>
      <c r="C35" s="15" t="s">
        <v>53</v>
      </c>
      <c r="D35">
        <f>E35/100*$D$34</f>
        <v>0.19</v>
      </c>
      <c r="E35">
        <v>50</v>
      </c>
    </row>
    <row r="36" spans="2:6" x14ac:dyDescent="0.45">
      <c r="B36" s="14" t="s">
        <v>54</v>
      </c>
      <c r="C36" s="15" t="s">
        <v>55</v>
      </c>
      <c r="D36">
        <f>E36/100*$D$34</f>
        <v>0.19</v>
      </c>
      <c r="E36">
        <v>50</v>
      </c>
    </row>
    <row r="37" spans="2:6" x14ac:dyDescent="0.45">
      <c r="B37" s="21" t="s">
        <v>56</v>
      </c>
      <c r="C37" s="22" t="s">
        <v>57</v>
      </c>
      <c r="D37">
        <f>E37/100*$D$28</f>
        <v>0.02</v>
      </c>
      <c r="E37" s="22">
        <v>1</v>
      </c>
    </row>
    <row r="38" spans="2:6" x14ac:dyDescent="0.45">
      <c r="B38" s="21" t="s">
        <v>58</v>
      </c>
      <c r="C38" s="22" t="s">
        <v>59</v>
      </c>
      <c r="D38">
        <f>E38/100*$D$28</f>
        <v>0.8</v>
      </c>
      <c r="E38" s="22">
        <v>40</v>
      </c>
    </row>
    <row r="39" spans="2:6" x14ac:dyDescent="0.45">
      <c r="B39" s="16">
        <v>4</v>
      </c>
      <c r="C39" s="17" t="s">
        <v>60</v>
      </c>
      <c r="D39">
        <f t="shared" ref="D39:D42" si="7">E39/100*$D$3</f>
        <v>1.7999999999999998</v>
      </c>
      <c r="E39" s="17">
        <v>18</v>
      </c>
    </row>
    <row r="40" spans="2:6" x14ac:dyDescent="0.45">
      <c r="B40" s="6">
        <v>5</v>
      </c>
      <c r="C40" s="25" t="s">
        <v>71</v>
      </c>
      <c r="D40">
        <f t="shared" si="7"/>
        <v>1.7999999999999998</v>
      </c>
      <c r="E40" s="7">
        <v>18</v>
      </c>
    </row>
    <row r="41" spans="2:6" x14ac:dyDescent="0.45">
      <c r="B41" s="12">
        <v>6</v>
      </c>
      <c r="C41" s="13" t="s">
        <v>61</v>
      </c>
      <c r="D41">
        <f t="shared" si="7"/>
        <v>0.5</v>
      </c>
      <c r="E41" s="13">
        <v>5</v>
      </c>
    </row>
    <row r="42" spans="2:6" x14ac:dyDescent="0.45">
      <c r="B42" s="26">
        <v>7</v>
      </c>
      <c r="C42" s="27" t="s">
        <v>66</v>
      </c>
      <c r="D42">
        <f t="shared" si="7"/>
        <v>0</v>
      </c>
      <c r="E42" s="28">
        <v>0</v>
      </c>
    </row>
    <row r="43" spans="2:6" x14ac:dyDescent="0.45">
      <c r="C43" t="s">
        <v>73</v>
      </c>
      <c r="D43">
        <f>SUM(D5,D6,D28,D39,D40,D41,D42)</f>
        <v>10</v>
      </c>
      <c r="E43" s="24">
        <f>SUM(E5,E6,E28,E39,E40,E41,E42)</f>
        <v>100</v>
      </c>
    </row>
    <row r="44" spans="2:6" x14ac:dyDescent="0.45">
      <c r="D44">
        <f>SUM(D5,D8:D12,D14:D18,D20:D21,D23:D27,D30:D33,D35:D38,D41,D39,D40,D42)</f>
        <v>10</v>
      </c>
    </row>
    <row r="46" spans="2:6" x14ac:dyDescent="0.45">
      <c r="B46" s="33"/>
      <c r="C46" s="34" t="s">
        <v>89</v>
      </c>
    </row>
    <row r="47" spans="2:6" x14ac:dyDescent="0.45">
      <c r="C47" s="1" t="s">
        <v>90</v>
      </c>
      <c r="D47">
        <f>D11</f>
        <v>5.7999999999999996E-2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50B6-8864-454E-AE4C-0BBDAC776C03}">
  <dimension ref="B2:T59"/>
  <sheetViews>
    <sheetView tabSelected="1" zoomScale="92" zoomScaleNormal="92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42" sqref="D42"/>
    </sheetView>
  </sheetViews>
  <sheetFormatPr defaultRowHeight="14.25" x14ac:dyDescent="0.45"/>
  <cols>
    <col min="1" max="1" width="2.53125" customWidth="1"/>
    <col min="2" max="2" width="8.53125" customWidth="1"/>
    <col min="3" max="3" width="69.796875" customWidth="1"/>
    <col min="4" max="4" width="7.53125" bestFit="1" customWidth="1"/>
    <col min="5" max="5" width="2.86328125" customWidth="1"/>
    <col min="6" max="6" width="11.46484375" bestFit="1" customWidth="1"/>
    <col min="12" max="12" width="5" customWidth="1"/>
    <col min="19" max="19" width="4.1328125" customWidth="1"/>
    <col min="20" max="20" width="16.53125" customWidth="1"/>
  </cols>
  <sheetData>
    <row r="2" spans="2:20" x14ac:dyDescent="0.45">
      <c r="F2" s="35" t="s">
        <v>62</v>
      </c>
      <c r="G2" s="35"/>
      <c r="H2" s="35"/>
      <c r="I2" s="35"/>
      <c r="J2" s="35"/>
      <c r="K2" s="35"/>
      <c r="M2" s="35" t="s">
        <v>63</v>
      </c>
      <c r="N2" s="35"/>
      <c r="O2" s="35"/>
      <c r="P2" s="35"/>
      <c r="Q2" s="35"/>
      <c r="R2" s="35"/>
      <c r="T2" s="23" t="s">
        <v>75</v>
      </c>
    </row>
    <row r="4" spans="2:20" s="31" customFormat="1" ht="42.75" x14ac:dyDescent="0.45">
      <c r="D4" s="31" t="s">
        <v>64</v>
      </c>
      <c r="F4" s="3" t="s">
        <v>76</v>
      </c>
      <c r="G4" s="3" t="s">
        <v>77</v>
      </c>
      <c r="H4" s="3" t="s">
        <v>78</v>
      </c>
      <c r="I4" s="3" t="s">
        <v>79</v>
      </c>
      <c r="J4" s="3" t="s">
        <v>80</v>
      </c>
      <c r="K4" s="3" t="s">
        <v>81</v>
      </c>
      <c r="M4" s="3" t="str">
        <f>F4</f>
        <v>Eduardo Olinto (A1)</v>
      </c>
      <c r="N4" s="3" t="str">
        <f t="shared" ref="N4:R4" si="0">G4</f>
        <v>Pedro Consales (A2)</v>
      </c>
      <c r="O4" s="3" t="str">
        <f t="shared" si="0"/>
        <v>Guilherme Rosa (A3)</v>
      </c>
      <c r="P4" s="3" t="str">
        <f t="shared" si="0"/>
        <v>Gustavo Valente (A4)</v>
      </c>
      <c r="Q4" s="3" t="str">
        <f t="shared" si="0"/>
        <v>Vitor Cid (A5)</v>
      </c>
      <c r="R4" s="3" t="str">
        <f t="shared" si="0"/>
        <v>Pedro Ferreira Serpa (A6)</v>
      </c>
    </row>
    <row r="5" spans="2:20" x14ac:dyDescent="0.45">
      <c r="B5" s="4">
        <v>1</v>
      </c>
      <c r="C5" s="5" t="s">
        <v>4</v>
      </c>
      <c r="D5">
        <f>Roteiro!D5</f>
        <v>1</v>
      </c>
      <c r="F5">
        <v>0.8</v>
      </c>
      <c r="G5">
        <v>0</v>
      </c>
      <c r="H5">
        <v>0</v>
      </c>
      <c r="I5">
        <v>0</v>
      </c>
      <c r="J5">
        <v>0</v>
      </c>
      <c r="K5">
        <v>0</v>
      </c>
      <c r="M5">
        <f>$D5*F5</f>
        <v>0.8</v>
      </c>
      <c r="N5">
        <f t="shared" ref="N5:R5" si="1">$D5*G5</f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T5" t="e">
        <f>#REF!</f>
        <v>#REF!</v>
      </c>
    </row>
    <row r="6" spans="2:20" x14ac:dyDescent="0.45">
      <c r="B6" s="6">
        <v>2</v>
      </c>
      <c r="C6" s="7" t="s">
        <v>5</v>
      </c>
      <c r="D6">
        <f>Roteiro!D6</f>
        <v>2.9</v>
      </c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</row>
    <row r="7" spans="2:20" x14ac:dyDescent="0.45">
      <c r="B7" s="18" t="s">
        <v>6</v>
      </c>
      <c r="C7" s="19" t="s">
        <v>7</v>
      </c>
      <c r="D7">
        <f>Roteiro!D7</f>
        <v>1.1599999999999999</v>
      </c>
      <c r="F7" s="2"/>
      <c r="G7" s="2"/>
      <c r="H7" s="2"/>
      <c r="I7" s="2"/>
      <c r="J7" s="2"/>
      <c r="K7" s="2"/>
      <c r="M7" s="2"/>
      <c r="N7" s="2"/>
      <c r="O7" s="2"/>
      <c r="P7" s="2"/>
      <c r="Q7" s="2"/>
      <c r="R7" s="2"/>
    </row>
    <row r="8" spans="2:20" x14ac:dyDescent="0.45">
      <c r="B8" s="8" t="s">
        <v>8</v>
      </c>
      <c r="C8" s="9" t="s">
        <v>9</v>
      </c>
      <c r="D8">
        <f>Roteiro!D8</f>
        <v>0.34799999999999998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M8">
        <f>$D8*F8</f>
        <v>0</v>
      </c>
      <c r="N8">
        <f t="shared" ref="N8:R12" si="2">$D8*G8</f>
        <v>0</v>
      </c>
      <c r="O8">
        <f t="shared" si="2"/>
        <v>0</v>
      </c>
      <c r="P8">
        <f t="shared" si="2"/>
        <v>0.34799999999999998</v>
      </c>
      <c r="Q8">
        <f t="shared" si="2"/>
        <v>0</v>
      </c>
      <c r="R8">
        <f t="shared" si="2"/>
        <v>0</v>
      </c>
    </row>
    <row r="9" spans="2:20" x14ac:dyDescent="0.45">
      <c r="B9" s="8" t="s">
        <v>10</v>
      </c>
      <c r="C9" s="9" t="s">
        <v>11</v>
      </c>
      <c r="D9">
        <f>Roteiro!D9</f>
        <v>5.7999999999999996E-2</v>
      </c>
      <c r="F9" s="1">
        <v>0.4</v>
      </c>
      <c r="G9" s="1">
        <v>0.4</v>
      </c>
      <c r="H9" s="1">
        <v>0.4</v>
      </c>
      <c r="I9" s="1">
        <v>0.4</v>
      </c>
      <c r="J9" s="1">
        <v>0.4</v>
      </c>
      <c r="K9" s="1">
        <v>0.4</v>
      </c>
      <c r="M9">
        <f t="shared" ref="M9:M12" si="3">$D9*F9</f>
        <v>2.3199999999999998E-2</v>
      </c>
      <c r="N9">
        <f t="shared" si="2"/>
        <v>2.3199999999999998E-2</v>
      </c>
      <c r="O9">
        <f t="shared" si="2"/>
        <v>2.3199999999999998E-2</v>
      </c>
      <c r="P9">
        <f t="shared" si="2"/>
        <v>2.3199999999999998E-2</v>
      </c>
      <c r="Q9">
        <f t="shared" si="2"/>
        <v>2.3199999999999998E-2</v>
      </c>
      <c r="R9">
        <f t="shared" si="2"/>
        <v>2.3199999999999998E-2</v>
      </c>
    </row>
    <row r="10" spans="2:20" x14ac:dyDescent="0.45">
      <c r="B10" s="8" t="s">
        <v>12</v>
      </c>
      <c r="C10" s="9" t="s">
        <v>13</v>
      </c>
      <c r="D10">
        <f>Roteiro!D10</f>
        <v>0.63800000000000001</v>
      </c>
      <c r="F10">
        <v>0.9</v>
      </c>
      <c r="G10">
        <v>0.9</v>
      </c>
      <c r="H10">
        <v>0</v>
      </c>
      <c r="I10">
        <v>0.9</v>
      </c>
      <c r="J10">
        <v>0</v>
      </c>
      <c r="K10">
        <v>0</v>
      </c>
      <c r="M10">
        <f t="shared" si="3"/>
        <v>0.57420000000000004</v>
      </c>
      <c r="N10">
        <f t="shared" si="2"/>
        <v>0.57420000000000004</v>
      </c>
      <c r="O10">
        <f t="shared" si="2"/>
        <v>0</v>
      </c>
      <c r="P10">
        <f t="shared" si="2"/>
        <v>0.57420000000000004</v>
      </c>
      <c r="Q10">
        <f t="shared" si="2"/>
        <v>0</v>
      </c>
      <c r="R10">
        <f t="shared" si="2"/>
        <v>0</v>
      </c>
    </row>
    <row r="11" spans="2:20" x14ac:dyDescent="0.45">
      <c r="B11" s="8" t="s">
        <v>12</v>
      </c>
      <c r="C11" s="9" t="s">
        <v>82</v>
      </c>
      <c r="D11">
        <f>Roteiro!D11</f>
        <v>5.7999999999999996E-2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M11">
        <f t="shared" ref="M11" si="4">$D11*F11</f>
        <v>5.7999999999999996E-2</v>
      </c>
      <c r="N11">
        <f t="shared" ref="N11" si="5">$D11*G11</f>
        <v>5.7999999999999996E-2</v>
      </c>
      <c r="O11">
        <f t="shared" ref="O11" si="6">$D11*H11</f>
        <v>5.7999999999999996E-2</v>
      </c>
      <c r="P11">
        <f t="shared" ref="P11" si="7">$D11*I11</f>
        <v>5.7999999999999996E-2</v>
      </c>
      <c r="Q11">
        <f t="shared" ref="Q11" si="8">$D11*J11</f>
        <v>5.7999999999999996E-2</v>
      </c>
      <c r="R11">
        <f t="shared" ref="R11" si="9">$D11*K11</f>
        <v>5.7999999999999996E-2</v>
      </c>
    </row>
    <row r="12" spans="2:20" x14ac:dyDescent="0.45">
      <c r="B12" s="8" t="s">
        <v>14</v>
      </c>
      <c r="C12" s="9" t="s">
        <v>15</v>
      </c>
      <c r="D12">
        <f>Roteiro!D12</f>
        <v>5.7999999999999996E-2</v>
      </c>
      <c r="F12">
        <v>0</v>
      </c>
      <c r="G12">
        <v>0</v>
      </c>
      <c r="H12">
        <v>0</v>
      </c>
      <c r="I12">
        <v>0.8</v>
      </c>
      <c r="J12">
        <v>0</v>
      </c>
      <c r="K12">
        <v>0</v>
      </c>
      <c r="M12">
        <f t="shared" si="3"/>
        <v>0</v>
      </c>
      <c r="N12">
        <f t="shared" si="2"/>
        <v>0</v>
      </c>
      <c r="O12">
        <f t="shared" si="2"/>
        <v>0</v>
      </c>
      <c r="P12">
        <f t="shared" si="2"/>
        <v>4.6399999999999997E-2</v>
      </c>
      <c r="Q12">
        <f t="shared" si="2"/>
        <v>0</v>
      </c>
      <c r="R12">
        <f t="shared" si="2"/>
        <v>0</v>
      </c>
      <c r="T12" t="e">
        <f>#REF!</f>
        <v>#REF!</v>
      </c>
    </row>
    <row r="13" spans="2:20" x14ac:dyDescent="0.45">
      <c r="B13" s="18" t="s">
        <v>16</v>
      </c>
      <c r="C13" s="19" t="s">
        <v>17</v>
      </c>
      <c r="D13">
        <f>Roteiro!D13</f>
        <v>0.72499999999999998</v>
      </c>
      <c r="F13" s="2"/>
      <c r="G13" s="2"/>
      <c r="H13" s="2"/>
      <c r="I13" s="2"/>
      <c r="J13" s="2"/>
      <c r="K13" s="2"/>
      <c r="M13" s="2"/>
      <c r="N13" s="2"/>
      <c r="O13" s="2"/>
      <c r="P13" s="2"/>
      <c r="Q13" s="2"/>
      <c r="R13" s="2"/>
    </row>
    <row r="14" spans="2:20" x14ac:dyDescent="0.45">
      <c r="B14" s="10" t="s">
        <v>18</v>
      </c>
      <c r="C14" s="9" t="s">
        <v>19</v>
      </c>
      <c r="D14">
        <f>Roteiro!D14</f>
        <v>2.8999999999999998E-2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f t="shared" ref="M14:R18" si="10">$D14*F14</f>
        <v>0</v>
      </c>
      <c r="N14">
        <f t="shared" si="10"/>
        <v>0</v>
      </c>
      <c r="O14">
        <f t="shared" si="10"/>
        <v>0</v>
      </c>
      <c r="P14">
        <f t="shared" si="10"/>
        <v>0</v>
      </c>
      <c r="Q14">
        <f t="shared" si="10"/>
        <v>0</v>
      </c>
      <c r="R14">
        <f t="shared" si="10"/>
        <v>0</v>
      </c>
    </row>
    <row r="15" spans="2:20" x14ac:dyDescent="0.45">
      <c r="B15" s="10" t="s">
        <v>20</v>
      </c>
      <c r="C15" s="11" t="s">
        <v>21</v>
      </c>
      <c r="D15">
        <f>Roteiro!D15</f>
        <v>0.17399999999999999</v>
      </c>
      <c r="F15">
        <f>(1/2)/2</f>
        <v>0.25</v>
      </c>
      <c r="G15">
        <f t="shared" ref="G15:K15" si="11">(1/2)/2</f>
        <v>0.25</v>
      </c>
      <c r="H15">
        <f t="shared" si="11"/>
        <v>0.25</v>
      </c>
      <c r="I15">
        <f t="shared" si="11"/>
        <v>0.25</v>
      </c>
      <c r="J15">
        <f t="shared" si="11"/>
        <v>0.25</v>
      </c>
      <c r="K15">
        <f t="shared" si="11"/>
        <v>0.25</v>
      </c>
      <c r="M15">
        <f t="shared" si="10"/>
        <v>4.3499999999999997E-2</v>
      </c>
      <c r="N15">
        <f t="shared" si="10"/>
        <v>4.3499999999999997E-2</v>
      </c>
      <c r="O15">
        <f t="shared" si="10"/>
        <v>4.3499999999999997E-2</v>
      </c>
      <c r="P15">
        <f t="shared" si="10"/>
        <v>4.3499999999999997E-2</v>
      </c>
      <c r="Q15">
        <f t="shared" si="10"/>
        <v>4.3499999999999997E-2</v>
      </c>
      <c r="R15">
        <f t="shared" si="10"/>
        <v>4.3499999999999997E-2</v>
      </c>
    </row>
    <row r="16" spans="2:20" x14ac:dyDescent="0.45">
      <c r="B16" s="8" t="s">
        <v>23</v>
      </c>
      <c r="C16" s="11" t="s">
        <v>22</v>
      </c>
      <c r="D16">
        <f>Roteiro!D16</f>
        <v>0.17399999999999999</v>
      </c>
      <c r="F16">
        <v>0</v>
      </c>
      <c r="G16">
        <v>0</v>
      </c>
      <c r="H16">
        <v>0</v>
      </c>
      <c r="I16">
        <v>0.2</v>
      </c>
      <c r="J16">
        <v>0</v>
      </c>
      <c r="K16">
        <v>0</v>
      </c>
      <c r="M16">
        <f t="shared" si="10"/>
        <v>0</v>
      </c>
      <c r="N16">
        <f t="shared" si="10"/>
        <v>0</v>
      </c>
      <c r="O16">
        <f t="shared" si="10"/>
        <v>0</v>
      </c>
      <c r="P16">
        <f t="shared" si="10"/>
        <v>3.4799999999999998E-2</v>
      </c>
      <c r="Q16">
        <f t="shared" si="10"/>
        <v>0</v>
      </c>
      <c r="R16">
        <f t="shared" si="10"/>
        <v>0</v>
      </c>
    </row>
    <row r="17" spans="2:18" x14ac:dyDescent="0.45">
      <c r="B17" s="8" t="s">
        <v>25</v>
      </c>
      <c r="C17" s="11" t="s">
        <v>24</v>
      </c>
      <c r="D17">
        <f>Roteiro!D17</f>
        <v>0.17399999999999999</v>
      </c>
      <c r="F17">
        <v>0</v>
      </c>
      <c r="G17">
        <v>0</v>
      </c>
      <c r="H17">
        <v>0</v>
      </c>
      <c r="I17">
        <v>0.7</v>
      </c>
      <c r="J17">
        <v>0</v>
      </c>
      <c r="K17">
        <v>0</v>
      </c>
      <c r="M17">
        <f t="shared" si="10"/>
        <v>0</v>
      </c>
      <c r="N17">
        <f t="shared" si="10"/>
        <v>0</v>
      </c>
      <c r="O17">
        <f t="shared" si="10"/>
        <v>0</v>
      </c>
      <c r="P17">
        <f t="shared" si="10"/>
        <v>0.12179999999999998</v>
      </c>
      <c r="Q17">
        <f t="shared" si="10"/>
        <v>0</v>
      </c>
      <c r="R17">
        <f t="shared" si="10"/>
        <v>0</v>
      </c>
    </row>
    <row r="18" spans="2:18" x14ac:dyDescent="0.45">
      <c r="B18" s="8" t="s">
        <v>67</v>
      </c>
      <c r="C18" s="11" t="s">
        <v>26</v>
      </c>
      <c r="D18">
        <f>Roteiro!D18</f>
        <v>0.17399999999999999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f t="shared" si="10"/>
        <v>0</v>
      </c>
      <c r="N18">
        <f t="shared" si="10"/>
        <v>0</v>
      </c>
      <c r="O18">
        <f t="shared" si="10"/>
        <v>0</v>
      </c>
      <c r="P18">
        <f t="shared" si="10"/>
        <v>0</v>
      </c>
      <c r="Q18">
        <f t="shared" si="10"/>
        <v>0</v>
      </c>
      <c r="R18">
        <f t="shared" si="10"/>
        <v>0</v>
      </c>
    </row>
    <row r="19" spans="2:18" x14ac:dyDescent="0.45">
      <c r="B19" s="18" t="s">
        <v>27</v>
      </c>
      <c r="C19" s="20" t="s">
        <v>28</v>
      </c>
      <c r="D19">
        <f>Roteiro!D19</f>
        <v>1.0149999999999999</v>
      </c>
      <c r="F19" s="2"/>
      <c r="G19" s="2"/>
      <c r="H19" s="2"/>
      <c r="I19" s="2"/>
      <c r="J19" s="2"/>
      <c r="K19" s="2"/>
      <c r="M19" s="2"/>
      <c r="N19" s="2"/>
      <c r="O19" s="2"/>
      <c r="P19" s="2"/>
      <c r="Q19" s="2"/>
      <c r="R19" s="2"/>
    </row>
    <row r="20" spans="2:18" x14ac:dyDescent="0.45">
      <c r="B20" s="8" t="s">
        <v>29</v>
      </c>
      <c r="C20" s="11" t="s">
        <v>30</v>
      </c>
      <c r="D20">
        <f>Roteiro!D20</f>
        <v>2.0299999999999999E-2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M20">
        <f t="shared" ref="M20:R21" si="12">$D20*F20</f>
        <v>0</v>
      </c>
      <c r="N20">
        <f t="shared" si="12"/>
        <v>2.0299999999999999E-2</v>
      </c>
      <c r="O20">
        <f t="shared" si="12"/>
        <v>0</v>
      </c>
      <c r="P20">
        <f t="shared" si="12"/>
        <v>2.0299999999999999E-2</v>
      </c>
      <c r="Q20">
        <f t="shared" si="12"/>
        <v>0</v>
      </c>
      <c r="R20">
        <f t="shared" si="12"/>
        <v>0</v>
      </c>
    </row>
    <row r="21" spans="2:18" x14ac:dyDescent="0.45">
      <c r="B21" s="10" t="s">
        <v>31</v>
      </c>
      <c r="C21" s="11" t="s">
        <v>32</v>
      </c>
      <c r="D21">
        <f>Roteiro!D21</f>
        <v>6.0899999999999989E-2</v>
      </c>
      <c r="F21">
        <v>0</v>
      </c>
      <c r="G21">
        <v>0.5</v>
      </c>
      <c r="H21">
        <v>0</v>
      </c>
      <c r="I21">
        <v>0.5</v>
      </c>
      <c r="J21">
        <v>0</v>
      </c>
      <c r="K21">
        <v>0</v>
      </c>
      <c r="M21">
        <f t="shared" si="12"/>
        <v>0</v>
      </c>
      <c r="N21">
        <f t="shared" si="12"/>
        <v>3.0449999999999994E-2</v>
      </c>
      <c r="O21">
        <f t="shared" si="12"/>
        <v>0</v>
      </c>
      <c r="P21">
        <f t="shared" si="12"/>
        <v>3.0449999999999994E-2</v>
      </c>
      <c r="Q21">
        <f t="shared" si="12"/>
        <v>0</v>
      </c>
      <c r="R21">
        <f t="shared" si="12"/>
        <v>0</v>
      </c>
    </row>
    <row r="22" spans="2:18" x14ac:dyDescent="0.45">
      <c r="B22" s="8" t="s">
        <v>33</v>
      </c>
      <c r="C22" s="11" t="s">
        <v>35</v>
      </c>
      <c r="D22">
        <f>Roteiro!D22</f>
        <v>0.55825000000000002</v>
      </c>
      <c r="F22" s="2"/>
      <c r="G22" s="2"/>
      <c r="H22" s="2"/>
      <c r="I22" s="2"/>
      <c r="J22" s="2"/>
      <c r="K22" s="2"/>
      <c r="M22" s="2"/>
      <c r="N22" s="2"/>
      <c r="O22" s="2"/>
      <c r="P22" s="2"/>
      <c r="Q22" s="2"/>
      <c r="R22" s="2"/>
    </row>
    <row r="23" spans="2:18" x14ac:dyDescent="0.45">
      <c r="B23" s="8" t="s">
        <v>34</v>
      </c>
      <c r="C23" s="11" t="s">
        <v>36</v>
      </c>
      <c r="D23">
        <f>Roteiro!D23</f>
        <v>2.2330000000000003E-2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M23">
        <f t="shared" ref="M23:R27" si="13">$D23*F23</f>
        <v>0</v>
      </c>
      <c r="N23">
        <f t="shared" si="13"/>
        <v>0</v>
      </c>
      <c r="O23">
        <f t="shared" si="13"/>
        <v>0</v>
      </c>
      <c r="P23">
        <f t="shared" si="13"/>
        <v>0</v>
      </c>
      <c r="Q23">
        <f t="shared" si="13"/>
        <v>0</v>
      </c>
      <c r="R23">
        <f t="shared" si="13"/>
        <v>0</v>
      </c>
    </row>
    <row r="24" spans="2:18" x14ac:dyDescent="0.45">
      <c r="B24" s="8" t="s">
        <v>68</v>
      </c>
      <c r="C24" s="11" t="s">
        <v>37</v>
      </c>
      <c r="D24">
        <f>Roteiro!D24</f>
        <v>0.12281500000000001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f t="shared" si="13"/>
        <v>0</v>
      </c>
      <c r="N24">
        <f t="shared" si="13"/>
        <v>0</v>
      </c>
      <c r="O24">
        <f t="shared" si="13"/>
        <v>0</v>
      </c>
      <c r="P24">
        <f t="shared" si="13"/>
        <v>0</v>
      </c>
      <c r="Q24">
        <f t="shared" si="13"/>
        <v>0</v>
      </c>
      <c r="R24">
        <f t="shared" si="13"/>
        <v>0</v>
      </c>
    </row>
    <row r="25" spans="2:18" x14ac:dyDescent="0.45">
      <c r="B25" s="8" t="s">
        <v>69</v>
      </c>
      <c r="C25" s="11" t="s">
        <v>38</v>
      </c>
      <c r="D25">
        <f>Roteiro!D25</f>
        <v>0.2065525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M25">
        <f t="shared" si="13"/>
        <v>0</v>
      </c>
      <c r="N25">
        <f t="shared" si="13"/>
        <v>0</v>
      </c>
      <c r="O25">
        <f t="shared" si="13"/>
        <v>0</v>
      </c>
      <c r="P25">
        <f t="shared" si="13"/>
        <v>0</v>
      </c>
      <c r="Q25">
        <f t="shared" si="13"/>
        <v>0</v>
      </c>
      <c r="R25">
        <f t="shared" si="13"/>
        <v>0</v>
      </c>
    </row>
    <row r="26" spans="2:18" x14ac:dyDescent="0.45">
      <c r="B26" s="8" t="s">
        <v>70</v>
      </c>
      <c r="C26" s="11" t="s">
        <v>39</v>
      </c>
      <c r="D26">
        <f>Roteiro!D26</f>
        <v>0.2065525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M26">
        <f t="shared" si="13"/>
        <v>0</v>
      </c>
      <c r="N26">
        <f t="shared" si="13"/>
        <v>0</v>
      </c>
      <c r="O26">
        <f t="shared" si="13"/>
        <v>0</v>
      </c>
      <c r="P26">
        <f t="shared" si="13"/>
        <v>0</v>
      </c>
      <c r="Q26">
        <f t="shared" si="13"/>
        <v>0</v>
      </c>
      <c r="R26">
        <f t="shared" si="13"/>
        <v>0</v>
      </c>
    </row>
    <row r="27" spans="2:18" x14ac:dyDescent="0.45">
      <c r="B27" s="8" t="s">
        <v>74</v>
      </c>
      <c r="C27" s="11" t="s">
        <v>40</v>
      </c>
      <c r="D27">
        <f>Roteiro!D27</f>
        <v>0.37554999999999999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f t="shared" si="13"/>
        <v>0</v>
      </c>
      <c r="N27">
        <f t="shared" si="13"/>
        <v>0</v>
      </c>
      <c r="O27">
        <f t="shared" si="13"/>
        <v>0</v>
      </c>
      <c r="P27">
        <f t="shared" si="13"/>
        <v>0</v>
      </c>
      <c r="Q27">
        <f t="shared" si="13"/>
        <v>0</v>
      </c>
      <c r="R27">
        <f t="shared" si="13"/>
        <v>0</v>
      </c>
    </row>
    <row r="28" spans="2:18" x14ac:dyDescent="0.45">
      <c r="B28" s="12">
        <v>3</v>
      </c>
      <c r="C28" s="13" t="s">
        <v>41</v>
      </c>
      <c r="D28">
        <f>Roteiro!D28</f>
        <v>2</v>
      </c>
      <c r="F28" s="2"/>
      <c r="G28" s="2"/>
      <c r="H28" s="2"/>
      <c r="I28" s="2"/>
      <c r="J28" s="2"/>
      <c r="K28" s="2"/>
      <c r="M28" s="2"/>
      <c r="N28" s="2"/>
      <c r="O28" s="2"/>
      <c r="P28" s="2"/>
      <c r="Q28" s="2"/>
      <c r="R28" s="2"/>
    </row>
    <row r="29" spans="2:18" x14ac:dyDescent="0.45">
      <c r="B29" s="21" t="s">
        <v>42</v>
      </c>
      <c r="C29" s="22" t="s">
        <v>43</v>
      </c>
      <c r="D29">
        <f>Roteiro!D29</f>
        <v>0.8</v>
      </c>
      <c r="F29" s="2"/>
      <c r="G29" s="2"/>
      <c r="H29" s="2"/>
      <c r="I29" s="2"/>
      <c r="J29" s="2"/>
      <c r="K29" s="2"/>
      <c r="M29" s="2"/>
      <c r="N29" s="2"/>
      <c r="O29" s="2"/>
      <c r="P29" s="2"/>
      <c r="Q29" s="2"/>
      <c r="R29" s="2"/>
    </row>
    <row r="30" spans="2:18" x14ac:dyDescent="0.45">
      <c r="B30" s="14" t="s">
        <v>44</v>
      </c>
      <c r="C30" s="15" t="s">
        <v>45</v>
      </c>
      <c r="D30">
        <f>Roteiro!D30</f>
        <v>4.0000000000000008E-2</v>
      </c>
      <c r="F30">
        <v>0</v>
      </c>
      <c r="G30">
        <v>0.4</v>
      </c>
      <c r="H30">
        <v>0</v>
      </c>
      <c r="I30">
        <v>0</v>
      </c>
      <c r="J30">
        <v>0</v>
      </c>
      <c r="K30">
        <v>0</v>
      </c>
      <c r="M30">
        <f t="shared" ref="M30:R42" si="14">$D30*F30</f>
        <v>0</v>
      </c>
      <c r="N30">
        <f t="shared" si="14"/>
        <v>1.6000000000000004E-2</v>
      </c>
      <c r="O30">
        <f t="shared" si="14"/>
        <v>0</v>
      </c>
      <c r="P30">
        <f t="shared" si="14"/>
        <v>0</v>
      </c>
      <c r="Q30">
        <f t="shared" si="14"/>
        <v>0</v>
      </c>
      <c r="R30">
        <f t="shared" si="14"/>
        <v>0</v>
      </c>
    </row>
    <row r="31" spans="2:18" x14ac:dyDescent="0.45">
      <c r="B31" s="14" t="s">
        <v>46</v>
      </c>
      <c r="C31" s="15" t="s">
        <v>47</v>
      </c>
      <c r="D31">
        <f>Roteiro!D31</f>
        <v>4.0000000000000008E-2</v>
      </c>
      <c r="F31">
        <v>0</v>
      </c>
      <c r="G31">
        <v>0.8</v>
      </c>
      <c r="H31">
        <v>0</v>
      </c>
      <c r="I31">
        <v>0</v>
      </c>
      <c r="J31">
        <v>0</v>
      </c>
      <c r="K31">
        <v>0</v>
      </c>
      <c r="M31">
        <f t="shared" si="14"/>
        <v>0</v>
      </c>
      <c r="N31">
        <f t="shared" si="14"/>
        <v>3.2000000000000008E-2</v>
      </c>
      <c r="O31">
        <f t="shared" si="14"/>
        <v>0</v>
      </c>
      <c r="P31">
        <f t="shared" si="14"/>
        <v>0</v>
      </c>
      <c r="Q31">
        <f t="shared" si="14"/>
        <v>0</v>
      </c>
      <c r="R31">
        <f t="shared" si="14"/>
        <v>0</v>
      </c>
    </row>
    <row r="32" spans="2:18" x14ac:dyDescent="0.45">
      <c r="B32" s="14" t="s">
        <v>48</v>
      </c>
      <c r="C32" s="15" t="s">
        <v>49</v>
      </c>
      <c r="D32">
        <f>Roteiro!D32</f>
        <v>0.68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M32">
        <f t="shared" si="14"/>
        <v>0</v>
      </c>
      <c r="N32">
        <f t="shared" si="14"/>
        <v>0</v>
      </c>
      <c r="O32">
        <f t="shared" si="14"/>
        <v>0</v>
      </c>
      <c r="P32">
        <f t="shared" si="14"/>
        <v>0</v>
      </c>
      <c r="Q32">
        <f t="shared" si="14"/>
        <v>0</v>
      </c>
      <c r="R32">
        <f t="shared" si="14"/>
        <v>0</v>
      </c>
    </row>
    <row r="33" spans="2:18" x14ac:dyDescent="0.45">
      <c r="B33" s="14" t="s">
        <v>48</v>
      </c>
      <c r="C33" s="15" t="s">
        <v>49</v>
      </c>
      <c r="D33">
        <f>Roteiro!D33</f>
        <v>4.0000000000000008E-2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M33">
        <f t="shared" ref="M33" si="15">$D33*F33</f>
        <v>4.0000000000000008E-2</v>
      </c>
      <c r="N33">
        <f t="shared" ref="N33" si="16">$D33*G33</f>
        <v>4.0000000000000008E-2</v>
      </c>
      <c r="O33">
        <f t="shared" ref="O33" si="17">$D33*H33</f>
        <v>4.0000000000000008E-2</v>
      </c>
      <c r="P33">
        <f t="shared" ref="P33" si="18">$D33*I33</f>
        <v>4.0000000000000008E-2</v>
      </c>
      <c r="Q33">
        <f t="shared" ref="Q33" si="19">$D33*J33</f>
        <v>4.0000000000000008E-2</v>
      </c>
      <c r="R33">
        <f t="shared" ref="R33" si="20">$D33*K33</f>
        <v>0</v>
      </c>
    </row>
    <row r="34" spans="2:18" x14ac:dyDescent="0.45">
      <c r="B34" s="21" t="s">
        <v>50</v>
      </c>
      <c r="C34" s="22" t="s">
        <v>51</v>
      </c>
      <c r="D34">
        <f>Roteiro!D34</f>
        <v>0.38</v>
      </c>
      <c r="F34" s="2"/>
      <c r="G34" s="2"/>
      <c r="H34" s="2"/>
      <c r="I34" s="2"/>
      <c r="J34" s="2"/>
      <c r="K34" s="2"/>
      <c r="M34" s="2"/>
      <c r="N34" s="2"/>
      <c r="O34" s="2"/>
      <c r="P34" s="2"/>
      <c r="Q34" s="2"/>
      <c r="R34" s="2"/>
    </row>
    <row r="35" spans="2:18" x14ac:dyDescent="0.45">
      <c r="B35" s="14" t="s">
        <v>52</v>
      </c>
      <c r="C35" s="15" t="s">
        <v>53</v>
      </c>
      <c r="D35">
        <f>Roteiro!D35</f>
        <v>0.19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M35">
        <f t="shared" si="14"/>
        <v>0</v>
      </c>
      <c r="N35">
        <f t="shared" si="14"/>
        <v>0</v>
      </c>
      <c r="O35">
        <f t="shared" si="14"/>
        <v>0</v>
      </c>
      <c r="P35">
        <f t="shared" si="14"/>
        <v>0</v>
      </c>
      <c r="Q35">
        <f t="shared" si="14"/>
        <v>0</v>
      </c>
      <c r="R35">
        <f t="shared" si="14"/>
        <v>0</v>
      </c>
    </row>
    <row r="36" spans="2:18" x14ac:dyDescent="0.45">
      <c r="B36" s="14" t="s">
        <v>54</v>
      </c>
      <c r="C36" s="15" t="s">
        <v>55</v>
      </c>
      <c r="D36">
        <f>Roteiro!D36</f>
        <v>0.19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>
        <f t="shared" si="14"/>
        <v>0</v>
      </c>
      <c r="N36">
        <f t="shared" si="14"/>
        <v>0</v>
      </c>
      <c r="O36">
        <f t="shared" si="14"/>
        <v>0</v>
      </c>
      <c r="P36">
        <f t="shared" si="14"/>
        <v>0</v>
      </c>
      <c r="Q36">
        <f t="shared" si="14"/>
        <v>0</v>
      </c>
      <c r="R36">
        <f t="shared" si="14"/>
        <v>0</v>
      </c>
    </row>
    <row r="37" spans="2:18" x14ac:dyDescent="0.45">
      <c r="B37" s="21" t="s">
        <v>56</v>
      </c>
      <c r="C37" s="22" t="s">
        <v>57</v>
      </c>
      <c r="D37">
        <f>Roteiro!D37</f>
        <v>0.02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M37">
        <f t="shared" si="14"/>
        <v>0</v>
      </c>
      <c r="N37">
        <f t="shared" si="14"/>
        <v>0</v>
      </c>
      <c r="O37">
        <f t="shared" si="14"/>
        <v>0</v>
      </c>
      <c r="P37">
        <f t="shared" si="14"/>
        <v>0</v>
      </c>
      <c r="Q37">
        <f t="shared" si="14"/>
        <v>0</v>
      </c>
      <c r="R37">
        <f t="shared" si="14"/>
        <v>0</v>
      </c>
    </row>
    <row r="38" spans="2:18" x14ac:dyDescent="0.45">
      <c r="B38" s="21" t="s">
        <v>58</v>
      </c>
      <c r="C38" s="22" t="s">
        <v>59</v>
      </c>
      <c r="D38">
        <f>Roteiro!D38</f>
        <v>0.8</v>
      </c>
      <c r="F38">
        <v>0</v>
      </c>
      <c r="G38">
        <v>0.6</v>
      </c>
      <c r="H38">
        <v>0</v>
      </c>
      <c r="I38">
        <v>0.6</v>
      </c>
      <c r="J38">
        <v>0</v>
      </c>
      <c r="K38">
        <v>0</v>
      </c>
      <c r="M38">
        <f t="shared" si="14"/>
        <v>0</v>
      </c>
      <c r="N38">
        <f t="shared" si="14"/>
        <v>0.48</v>
      </c>
      <c r="O38">
        <f t="shared" si="14"/>
        <v>0</v>
      </c>
      <c r="P38">
        <f t="shared" si="14"/>
        <v>0.48</v>
      </c>
      <c r="Q38">
        <f t="shared" si="14"/>
        <v>0</v>
      </c>
      <c r="R38">
        <f t="shared" si="14"/>
        <v>0</v>
      </c>
    </row>
    <row r="39" spans="2:18" x14ac:dyDescent="0.45">
      <c r="B39" s="16">
        <v>4</v>
      </c>
      <c r="C39" s="17" t="s">
        <v>60</v>
      </c>
      <c r="D39">
        <f>Roteiro!D39</f>
        <v>1.7999999999999998</v>
      </c>
      <c r="F39">
        <f>(F55+F56)/2</f>
        <v>0</v>
      </c>
      <c r="G39">
        <f t="shared" ref="G39:K39" si="21">(G55+G56)/2</f>
        <v>0</v>
      </c>
      <c r="H39">
        <f t="shared" si="21"/>
        <v>0</v>
      </c>
      <c r="I39">
        <f t="shared" si="21"/>
        <v>0</v>
      </c>
      <c r="J39">
        <f t="shared" si="21"/>
        <v>0.7</v>
      </c>
      <c r="K39">
        <f t="shared" si="21"/>
        <v>0</v>
      </c>
      <c r="M39">
        <f t="shared" si="14"/>
        <v>0</v>
      </c>
      <c r="N39">
        <f t="shared" si="14"/>
        <v>0</v>
      </c>
      <c r="O39">
        <f t="shared" si="14"/>
        <v>0</v>
      </c>
      <c r="P39">
        <f t="shared" si="14"/>
        <v>0</v>
      </c>
      <c r="Q39">
        <f t="shared" si="14"/>
        <v>1.2599999999999998</v>
      </c>
      <c r="R39">
        <f t="shared" si="14"/>
        <v>0</v>
      </c>
    </row>
    <row r="40" spans="2:18" x14ac:dyDescent="0.45">
      <c r="B40" s="6">
        <v>5</v>
      </c>
      <c r="C40" s="25" t="s">
        <v>71</v>
      </c>
      <c r="D40">
        <f>Roteiro!D40</f>
        <v>1.7999999999999998</v>
      </c>
      <c r="F40">
        <f>(F58+F59)/2</f>
        <v>0</v>
      </c>
      <c r="G40">
        <f t="shared" ref="G40:K40" si="22">(G58+G59)/2</f>
        <v>0</v>
      </c>
      <c r="H40">
        <f t="shared" si="22"/>
        <v>0</v>
      </c>
      <c r="I40">
        <f t="shared" si="22"/>
        <v>0</v>
      </c>
      <c r="J40">
        <f t="shared" si="22"/>
        <v>0</v>
      </c>
      <c r="K40">
        <f t="shared" si="22"/>
        <v>0</v>
      </c>
      <c r="M40">
        <f t="shared" si="14"/>
        <v>0</v>
      </c>
      <c r="N40">
        <f t="shared" si="14"/>
        <v>0</v>
      </c>
      <c r="O40">
        <f t="shared" si="14"/>
        <v>0</v>
      </c>
      <c r="P40">
        <f t="shared" si="14"/>
        <v>0</v>
      </c>
      <c r="Q40">
        <f t="shared" si="14"/>
        <v>0</v>
      </c>
      <c r="R40">
        <f t="shared" si="14"/>
        <v>0</v>
      </c>
    </row>
    <row r="41" spans="2:18" x14ac:dyDescent="0.45">
      <c r="B41" s="12">
        <v>6</v>
      </c>
      <c r="C41" s="13" t="s">
        <v>61</v>
      </c>
      <c r="D41">
        <f>Roteiro!D41</f>
        <v>0.5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M41">
        <f t="shared" si="14"/>
        <v>0.5</v>
      </c>
      <c r="N41">
        <f t="shared" si="14"/>
        <v>0.5</v>
      </c>
      <c r="O41">
        <f t="shared" si="14"/>
        <v>0.5</v>
      </c>
      <c r="P41">
        <f t="shared" si="14"/>
        <v>0.5</v>
      </c>
      <c r="Q41">
        <f t="shared" si="14"/>
        <v>0.5</v>
      </c>
      <c r="R41">
        <f t="shared" si="14"/>
        <v>0.5</v>
      </c>
    </row>
    <row r="42" spans="2:18" x14ac:dyDescent="0.45">
      <c r="B42" s="26">
        <v>7</v>
      </c>
      <c r="C42" s="27" t="s">
        <v>66</v>
      </c>
      <c r="D42">
        <f>Roteiro!D42</f>
        <v>0</v>
      </c>
      <c r="M42">
        <f t="shared" si="14"/>
        <v>0</v>
      </c>
      <c r="N42">
        <f t="shared" si="14"/>
        <v>0</v>
      </c>
      <c r="O42">
        <f t="shared" si="14"/>
        <v>0</v>
      </c>
      <c r="P42">
        <f t="shared" si="14"/>
        <v>0</v>
      </c>
      <c r="Q42">
        <f t="shared" si="14"/>
        <v>0</v>
      </c>
      <c r="R42">
        <f t="shared" si="14"/>
        <v>0</v>
      </c>
    </row>
    <row r="44" spans="2:18" x14ac:dyDescent="0.45">
      <c r="C44" s="23" t="s">
        <v>65</v>
      </c>
      <c r="M44" s="23">
        <f t="shared" ref="M44:R44" si="23">SUM(M5:M42)</f>
        <v>2.0389000000000004</v>
      </c>
      <c r="N44" s="23">
        <f t="shared" si="23"/>
        <v>1.81765</v>
      </c>
      <c r="O44" s="23">
        <f t="shared" si="23"/>
        <v>0.66470000000000007</v>
      </c>
      <c r="P44" s="23">
        <f t="shared" si="23"/>
        <v>2.3206500000000001</v>
      </c>
      <c r="Q44" s="23">
        <f t="shared" si="23"/>
        <v>1.9246999999999999</v>
      </c>
      <c r="R44" s="23">
        <f t="shared" si="23"/>
        <v>0.62470000000000003</v>
      </c>
    </row>
    <row r="45" spans="2:18" x14ac:dyDescent="0.45">
      <c r="C45" t="s">
        <v>83</v>
      </c>
      <c r="D45" s="29">
        <v>0.1</v>
      </c>
      <c r="M45" s="32">
        <f>-$D45*Roteiro!$D$5</f>
        <v>-0.1</v>
      </c>
      <c r="N45" s="32">
        <f>-$D45*Roteiro!$D$5</f>
        <v>-0.1</v>
      </c>
      <c r="O45" s="32">
        <f>-$D45*Roteiro!$D$5</f>
        <v>-0.1</v>
      </c>
      <c r="P45" s="32">
        <f>-$D45*Roteiro!$D$5</f>
        <v>-0.1</v>
      </c>
      <c r="Q45" s="32">
        <f>-$D45*Roteiro!$D$5</f>
        <v>-0.1</v>
      </c>
      <c r="R45" s="32">
        <f>-$D45*Roteiro!$D$5</f>
        <v>-0.1</v>
      </c>
    </row>
    <row r="46" spans="2:18" x14ac:dyDescent="0.45">
      <c r="C46" t="s">
        <v>84</v>
      </c>
      <c r="D46" s="29">
        <v>0</v>
      </c>
      <c r="M46" s="32">
        <f>-$D46*(Roteiro!$D$7+Roteiro!$D$13)</f>
        <v>0</v>
      </c>
      <c r="N46" s="32">
        <f>-$D46*(Roteiro!$D$7+Roteiro!$D$13)</f>
        <v>0</v>
      </c>
      <c r="O46" s="32">
        <f>-$D46*(Roteiro!$D$7+Roteiro!$D$13)</f>
        <v>0</v>
      </c>
      <c r="P46" s="32">
        <f>-$D46*(Roteiro!$D$7+Roteiro!$D$13)</f>
        <v>0</v>
      </c>
      <c r="Q46" s="32">
        <f>-$D46*(Roteiro!$D$7+Roteiro!$D$13)</f>
        <v>0</v>
      </c>
      <c r="R46" s="32">
        <f>-$D46*(Roteiro!$D$7+Roteiro!$D$13)</f>
        <v>0</v>
      </c>
    </row>
    <row r="47" spans="2:18" x14ac:dyDescent="0.45">
      <c r="C47" t="s">
        <v>85</v>
      </c>
      <c r="D47" s="29">
        <v>0</v>
      </c>
      <c r="M47" s="32">
        <f>-$D47*Roteiro!$D$19</f>
        <v>0</v>
      </c>
      <c r="N47" s="32">
        <f>-$D47*Roteiro!$D$19</f>
        <v>0</v>
      </c>
      <c r="O47" s="32">
        <f>-$D47*Roteiro!$D$19</f>
        <v>0</v>
      </c>
      <c r="P47" s="32">
        <f>-$D47*Roteiro!$D$19</f>
        <v>0</v>
      </c>
      <c r="Q47" s="32">
        <f>-$D47*Roteiro!$D$19</f>
        <v>0</v>
      </c>
      <c r="R47" s="32">
        <f>-$D47*Roteiro!$D$19</f>
        <v>0</v>
      </c>
    </row>
    <row r="48" spans="2:18" x14ac:dyDescent="0.45">
      <c r="C48" t="s">
        <v>86</v>
      </c>
      <c r="D48" s="29">
        <v>0</v>
      </c>
      <c r="M48" s="32">
        <f>-$D48*Roteiro!$D$28</f>
        <v>0</v>
      </c>
      <c r="N48" s="32">
        <f>-$D48*Roteiro!$D$28</f>
        <v>0</v>
      </c>
      <c r="O48" s="32">
        <f>-$D48*Roteiro!$D$28</f>
        <v>0</v>
      </c>
      <c r="P48" s="32">
        <f>-$D48*Roteiro!$D$28</f>
        <v>0</v>
      </c>
      <c r="Q48" s="32">
        <f>-$D48*Roteiro!$D$28</f>
        <v>0</v>
      </c>
      <c r="R48" s="32">
        <f>-$D48*Roteiro!$D$28</f>
        <v>0</v>
      </c>
    </row>
    <row r="49" spans="3:18" x14ac:dyDescent="0.45">
      <c r="C49" t="s">
        <v>87</v>
      </c>
      <c r="D49" s="29">
        <v>0</v>
      </c>
      <c r="M49" s="32">
        <f>-$D49*(Roteiro!$D$39+Roteiro!$D$40+Roteiro!$D$41)</f>
        <v>0</v>
      </c>
      <c r="N49" s="32">
        <f>-$D49*(Roteiro!$D$39+Roteiro!$D$40+Roteiro!$D$41)</f>
        <v>0</v>
      </c>
      <c r="O49" s="32">
        <f>-$D49*(Roteiro!$D$39+Roteiro!$D$40+Roteiro!$D$41)</f>
        <v>0</v>
      </c>
      <c r="P49" s="32">
        <f>-$D49*(Roteiro!$D$39+Roteiro!$D$40+Roteiro!$D$41)</f>
        <v>0</v>
      </c>
      <c r="Q49" s="32">
        <f>-$D49*(Roteiro!$D$39+Roteiro!$D$40+Roteiro!$D$41)</f>
        <v>0</v>
      </c>
      <c r="R49" s="32">
        <f>-$D49*(Roteiro!$D$39+Roteiro!$D$40+Roteiro!$D$41)</f>
        <v>0</v>
      </c>
    </row>
    <row r="50" spans="3:18" x14ac:dyDescent="0.45">
      <c r="C50" s="1" t="s">
        <v>88</v>
      </c>
      <c r="D50" s="29">
        <v>0</v>
      </c>
      <c r="M50" s="32">
        <f>-$D50*Roteiro!$D$3</f>
        <v>0</v>
      </c>
      <c r="N50" s="32">
        <f>-$D50*Roteiro!$D$3</f>
        <v>0</v>
      </c>
      <c r="O50" s="32">
        <f>-$D50*Roteiro!$D$3</f>
        <v>0</v>
      </c>
      <c r="P50" s="32">
        <f>-$D50*Roteiro!$D$3</f>
        <v>0</v>
      </c>
      <c r="Q50" s="32">
        <f>-$D50*Roteiro!$D$3</f>
        <v>0</v>
      </c>
      <c r="R50" s="32">
        <f>-$D50*Roteiro!$D$3</f>
        <v>0</v>
      </c>
    </row>
    <row r="51" spans="3:18" x14ac:dyDescent="0.45">
      <c r="C51" s="1" t="s">
        <v>90</v>
      </c>
      <c r="D51" s="29"/>
      <c r="F51">
        <v>0</v>
      </c>
      <c r="G51">
        <f>Roteiro!$D$47</f>
        <v>5.7999999999999996E-2</v>
      </c>
      <c r="H51">
        <v>0</v>
      </c>
      <c r="I51">
        <v>0</v>
      </c>
      <c r="J51">
        <v>0</v>
      </c>
      <c r="K51">
        <v>0</v>
      </c>
      <c r="M51">
        <f>F51</f>
        <v>0</v>
      </c>
      <c r="N51">
        <f t="shared" ref="N51:R51" si="24">G51</f>
        <v>5.7999999999999996E-2</v>
      </c>
      <c r="O51">
        <f t="shared" si="24"/>
        <v>0</v>
      </c>
      <c r="P51">
        <f t="shared" si="24"/>
        <v>0</v>
      </c>
      <c r="Q51">
        <f t="shared" si="24"/>
        <v>0</v>
      </c>
      <c r="R51">
        <f t="shared" si="24"/>
        <v>0</v>
      </c>
    </row>
    <row r="52" spans="3:18" x14ac:dyDescent="0.45">
      <c r="C52" s="30" t="s">
        <v>0</v>
      </c>
      <c r="M52" s="30">
        <f>SUM(M44:M51)</f>
        <v>1.9389000000000003</v>
      </c>
      <c r="N52" s="30">
        <f t="shared" ref="N52:R52" si="25">SUM(N44:N51)</f>
        <v>1.77565</v>
      </c>
      <c r="O52" s="30">
        <f t="shared" si="25"/>
        <v>0.56470000000000009</v>
      </c>
      <c r="P52" s="30">
        <f t="shared" si="25"/>
        <v>2.22065</v>
      </c>
      <c r="Q52" s="30">
        <f t="shared" si="25"/>
        <v>1.8246999999999998</v>
      </c>
      <c r="R52" s="30">
        <f t="shared" si="25"/>
        <v>0.52470000000000006</v>
      </c>
    </row>
    <row r="55" spans="3:18" x14ac:dyDescent="0.45">
      <c r="F55" s="17"/>
      <c r="G55" s="17"/>
      <c r="H55" s="17"/>
      <c r="I55" s="17"/>
      <c r="J55" s="17">
        <v>0.7</v>
      </c>
      <c r="K55" s="17"/>
    </row>
    <row r="56" spans="3:18" x14ac:dyDescent="0.45">
      <c r="F56" s="17"/>
      <c r="G56" s="17"/>
      <c r="H56" s="17"/>
      <c r="I56" s="17"/>
      <c r="J56" s="17">
        <v>0.7</v>
      </c>
      <c r="K56" s="17"/>
    </row>
    <row r="58" spans="3:18" x14ac:dyDescent="0.45">
      <c r="F58" s="25">
        <v>0</v>
      </c>
      <c r="G58" s="25">
        <v>0</v>
      </c>
      <c r="H58" s="25"/>
      <c r="I58" s="25">
        <v>0</v>
      </c>
      <c r="J58" s="25"/>
      <c r="K58" s="25"/>
    </row>
    <row r="59" spans="3:18" x14ac:dyDescent="0.45">
      <c r="F59" s="25">
        <v>0</v>
      </c>
      <c r="G59" s="25">
        <v>0</v>
      </c>
      <c r="H59" s="25"/>
      <c r="I59" s="25"/>
      <c r="J59" s="25"/>
      <c r="K59" s="25"/>
    </row>
  </sheetData>
  <mergeCells count="2">
    <mergeCell ref="F2:K2"/>
    <mergeCell ref="M2:R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Roteiro</vt:lpstr>
      <vt:lpstr>Grupo 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Clarissa Barbosa</cp:lastModifiedBy>
  <cp:revision/>
  <cp:lastPrinted>2023-06-01T13:36:18Z</cp:lastPrinted>
  <dcterms:created xsi:type="dcterms:W3CDTF">2022-12-20T18:22:07Z</dcterms:created>
  <dcterms:modified xsi:type="dcterms:W3CDTF">2024-10-28T16:36:38Z</dcterms:modified>
  <cp:category/>
  <cp:contentStatus/>
</cp:coreProperties>
</file>